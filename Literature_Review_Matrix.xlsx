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📖 How to Use" state="visible" r:id="rId4"/>
    <sheet sheetId="2" name="📚 Literature Matrix" state="visible" r:id="rId5"/>
    <sheet sheetId="3" name="🔍 Gap Tracker" state="visible" r:id="rId6"/>
    <sheet sheetId="4" name="⚙️ Methodology Comparison" state="visible" r:id="rId7"/>
    <sheet sheetId="5" name="📋 Reading Tracker" state="visible" r:id="rId8"/>
    <sheet sheetId="6" name="💾 Dataset Inventory" state="visible" r:id="rId9"/>
    <sheet sheetId="7" name="🗺️ Domain Coverage Map" state="visible" r:id="rId10"/>
    <sheet sheetId="8" name="📈 Temporal Trends" state="visible" r:id="rId11"/>
  </sheets>
  <calcPr calcId="171027"/>
</workbook>
</file>

<file path=xl/sharedStrings.xml><?xml version="1.0" encoding="utf-8"?>
<sst xmlns="http://schemas.openxmlformats.org/spreadsheetml/2006/main" count="467" uniqueCount="412">
  <si>
    <t>📖  COMPREHENSIVE LITERATURE REVIEW MATRIX — USER GUIDE</t>
  </si>
  <si>
    <t>Designed for: Engineering · Electronics · EE · ML · Neuroscience Data Analysis</t>
  </si>
  <si>
    <t>🗂️  SHEET OVERVIEW</t>
  </si>
  <si>
    <t>📚 Literature Matrix</t>
  </si>
  <si>
    <t>Main table — one row per paper. Covers reference info, theory, methods, context, ML techniques, findings, and identified gaps (60 cols).</t>
  </si>
  <si>
    <t>🔍 Gap Tracker</t>
  </si>
  <si>
    <t>Synthesize identified gaps with evidence, novelty &amp; feasibility scores, proposed hypotheses, and research status tracking.</t>
  </si>
  <si>
    <t>🗺️ Domain Coverage Map</t>
  </si>
  <si>
    <t>Heatmap matrix — domains (rows) vs techniques (columns). Zeros highlight unexplored intersections = research gaps.</t>
  </si>
  <si>
    <t>⚙️ Methodology Comparison</t>
  </si>
  <si>
    <t>Side-by-side comparison of ML/AI methods across papers: accuracy, latency, energy, hardware, reproducibility.</t>
  </si>
  <si>
    <t>📈 Temporal Trends</t>
  </si>
  <si>
    <t>Track publication volume by topic and year to identify fast-growing areas and underexplored niches.</t>
  </si>
  <si>
    <t>💾 Dataset Inventory</t>
  </si>
  <si>
    <t>Catalog all datasets used across your literature; note limitations and open-access status — dataset gaps = research gaps.</t>
  </si>
  <si>
    <t>📋 Reading Tracker</t>
  </si>
  <si>
    <t>Manage your reading workflow — track reading status, dates, and matrix completion for each paper.</t>
  </si>
  <si>
    <t>✅  HOW TO START</t>
  </si>
  <si>
    <t>Step 1 — Import Papers</t>
  </si>
  <si>
    <t>In '📚 Literature Matrix', add one paper per row. Fill Paper ID (P001, P002…), full citation, and all fields you can.</t>
  </si>
  <si>
    <t>Step 2 — Identify Theory &amp; Method</t>
  </si>
  <si>
    <t>Log their research questions, definitions, epistemological stance, level of analysis, and sample details.</t>
  </si>
  <si>
    <t>Step 3 — Identify Gaps</t>
  </si>
  <si>
    <t>For each paper, fill the 'Identified Gaps', 'Neglected Variables', 'Excluded Demographics', and 'Methodological Weaknesses' columns.</t>
  </si>
  <si>
    <t>Step 4 — Synthesize in Gap Tracker</t>
  </si>
  <si>
    <t>Distill recurring gaps into '🔍 Gap Tracker'. Score novelty, feasibility, and impact to calculate priority.</t>
  </si>
  <si>
    <t>Step 5 — Update Domain Map</t>
  </si>
  <si>
    <t>Update counts in '🗺️ Domain Coverage Map' — zeros indicate unexplored intersections between domains and methods.</t>
  </si>
  <si>
    <t>Step 6 — Trend Analysis</t>
  </si>
  <si>
    <t>Fill '📈 Temporal Trends' with paper counts by year per topic to see which research areas are saturating vs. emerging.</t>
  </si>
  <si>
    <t>Step 7 — Mine Your Gaps</t>
  </si>
  <si>
    <t>Review top-priority gaps from Gap Tracker. Form your research hypothesis in column 'Your Hypothesis / Proposed Solution'.</t>
  </si>
  <si>
    <t>🎯  GAP FINDING HEURISTICS</t>
  </si>
  <si>
    <t>Zero-count cells in Domain Map</t>
  </si>
  <si>
    <t>Any cell = 0 means NO paper combines that domain + technique. That's a potential research gap.</t>
  </si>
  <si>
    <t>Recurring 'Future Work' themes</t>
  </si>
  <si>
    <t>If ≥3 papers suggest the same future direction, that's a validated, high-priority gap.</t>
  </si>
  <si>
    <t>Methodological Weaknesses</t>
  </si>
  <si>
    <t>Look for unproven 'Key Assumptions' or issues with 'Ecological Validity' (e.g. lab vs real-world).</t>
  </si>
  <si>
    <t>Excluded Demographics/Contexts</t>
  </si>
  <si>
    <t>If all studies on an algorithm are trained on Western demographics, apply it elsewhere.</t>
  </si>
  <si>
    <t>Datasets with known limitations</t>
  </si>
  <si>
    <t>Small N, single-site, single-paradigm datasets signal need for broader validation studies.</t>
  </si>
  <si>
    <t>Real-world deployment gap</t>
  </si>
  <si>
    <t>Many papers are lab/offline only — real-time, embedded, or federated deployment is almost always a gap.</t>
  </si>
  <si>
    <t>🔑  PRIORITY SCORE FORMULA</t>
  </si>
  <si>
    <t>Priority = Novelty × Feasibility × Impact</t>
  </si>
  <si>
    <t>In '🔍 Gap Tracker': rate each 1–5 → Priority = H×I×J (max 125). Higher = stronger research gap target.</t>
  </si>
  <si>
    <t>Novelty (1-5)</t>
  </si>
  <si>
    <t>1 = well-studied; 5 = completely unexplored combination of ideas</t>
  </si>
  <si>
    <t>Feasibility (1-5)</t>
  </si>
  <si>
    <t>1 = requires breakthrough; 5 = achievable with available tools/datasets in 1-2 years</t>
  </si>
  <si>
    <t>Impact (1-5)</t>
  </si>
  <si>
    <t>1 = incremental; 5 = could shift the field, enable new applications, or address clinical need</t>
  </si>
  <si>
    <t>📌  TIPS</t>
  </si>
  <si>
    <t>Use Paper IDs consistently</t>
  </si>
  <si>
    <t>Always reference papers by ID (P001, P002…) across all sheets for cross-referencing.</t>
  </si>
  <si>
    <t>Use filters</t>
  </si>
  <si>
    <t>Add Excel AutoFilter (Data → Filter) to the main matrix to slice by domain, year, or method.</t>
  </si>
  <si>
    <t>Colour conventions</t>
  </si>
  <si>
    <t>Gold headers = Gap Analysis columns | Teal/Slate = Methods &amp; Details | Navy = Core Info</t>
  </si>
  <si>
    <t>Export summaries</t>
  </si>
  <si>
    <t>Copy the Gap Tracker rows to a Word/LaTeX table to draft your Related Work / Research Gap section.</t>
  </si>
  <si>
    <t>Created</t>
  </si>
  <si>
    <t>Template generated: June 28, 2026 | Version 2.0</t>
  </si>
  <si>
    <t>📚 COMPREHENSIVE LITERATURE REVIEW MATRIX — Research Gap Analysis</t>
  </si>
  <si>
    <t>1. METADATA &amp; IDENTIFIERS</t>
  </si>
  <si>
    <t>2. THEORY &amp; CONCEPTS</t>
  </si>
  <si>
    <t>3. METHODOLOGY &amp; DESIGN</t>
  </si>
  <si>
    <t>4. SAMPLE &amp; CONTEXT</t>
  </si>
  <si>
    <t>5. DOMAIN COVERAGE</t>
  </si>
  <si>
    <t>6. DATA &amp; DATASETS</t>
  </si>
  <si>
    <t>7. ML / AI TECHNIQUES</t>
  </si>
  <si>
    <t>8. NEURO / BIO SIGNAL</t>
  </si>
  <si>
    <t>9. FINDINGS &amp; OUTCOMES</t>
  </si>
  <si>
    <t>10. GAP-FINDING &amp; CRITIQUE</t>
  </si>
  <si>
    <t>11. SYNTHESIS</t>
  </si>
  <si>
    <t xml:space="preserve">Paper ID
(P001…)</t>
  </si>
  <si>
    <t xml:space="preserve">Full Citation
(Author, Year, Journal/Conf)</t>
  </si>
  <si>
    <t xml:space="preserve">Publication
Type</t>
  </si>
  <si>
    <t>Year</t>
  </si>
  <si>
    <t xml:space="preserve">Funding Source
/ Sponsor</t>
  </si>
  <si>
    <t xml:space="preserve">Research
Question(s)</t>
  </si>
  <si>
    <t xml:space="preserve">Theoretical
Framework</t>
  </si>
  <si>
    <t xml:space="preserve">Definitions of
Core Concepts</t>
  </si>
  <si>
    <t xml:space="preserve">Key
Assumptions</t>
  </si>
  <si>
    <t xml:space="preserve">Epistemological
Stance</t>
  </si>
  <si>
    <t xml:space="preserve">Methodology
/ Study Design</t>
  </si>
  <si>
    <t xml:space="preserve">Level of
Analysis</t>
  </si>
  <si>
    <t xml:space="preserve">Data Collection
Timeline</t>
  </si>
  <si>
    <t xml:space="preserve">Analytical /
Statistical Tools</t>
  </si>
  <si>
    <t xml:space="preserve">Intervention
Details</t>
  </si>
  <si>
    <t xml:space="preserve">Validation
Method</t>
  </si>
  <si>
    <t xml:space="preserve">Sample Size
/ Participants</t>
  </si>
  <si>
    <t xml:space="preserve">Geographic /
Cultural Context</t>
  </si>
  <si>
    <t xml:space="preserve">Time Period
/ Era</t>
  </si>
  <si>
    <t xml:space="preserve">Stakeholder
Perspective</t>
  </si>
  <si>
    <t xml:space="preserve">Electrical
Engineering</t>
  </si>
  <si>
    <t xml:space="preserve">Electronics
/ Circuits</t>
  </si>
  <si>
    <t xml:space="preserve">Signal
Processing</t>
  </si>
  <si>
    <t xml:space="preserve">Power
Systems</t>
  </si>
  <si>
    <t xml:space="preserve">IoT /
Embedded</t>
  </si>
  <si>
    <t xml:space="preserve">Control
Systems</t>
  </si>
  <si>
    <t xml:space="preserve">Dataset
Name</t>
  </si>
  <si>
    <t xml:space="preserve">Data
Type</t>
  </si>
  <si>
    <t xml:space="preserve">Data
Source</t>
  </si>
  <si>
    <t xml:space="preserve">Preprocessing
Steps</t>
  </si>
  <si>
    <t xml:space="preserve">Open
Access?</t>
  </si>
  <si>
    <t xml:space="preserve">ML Model
Used</t>
  </si>
  <si>
    <t xml:space="preserve">Deep Learning
(Y/N)</t>
  </si>
  <si>
    <t xml:space="preserve">Architecture
Type</t>
  </si>
  <si>
    <t xml:space="preserve">Feature
Engineering</t>
  </si>
  <si>
    <t xml:space="preserve">Optimizer /
Loss Fn</t>
  </si>
  <si>
    <t xml:space="preserve">EEG / EMG
/ ECG</t>
  </si>
  <si>
    <t xml:space="preserve">Brain Region
/ Signal Band</t>
  </si>
  <si>
    <t xml:space="preserve">Neuro
Application</t>
  </si>
  <si>
    <t xml:space="preserve">Key
Variables</t>
  </si>
  <si>
    <t xml:space="preserve">Key Findings /
Contributions</t>
  </si>
  <si>
    <t xml:space="preserve">Accuracy
(%)</t>
  </si>
  <si>
    <t>F1 / AUC</t>
  </si>
  <si>
    <t xml:space="preserve">RMSE /
MAE</t>
  </si>
  <si>
    <t xml:space="preserve">Comparison
Baseline</t>
  </si>
  <si>
    <t xml:space="preserve">Effect Size
/ Power</t>
  </si>
  <si>
    <t xml:space="preserve">Practical
Implications</t>
  </si>
  <si>
    <t xml:space="preserve">Identified
Gaps</t>
  </si>
  <si>
    <t xml:space="preserve">Limitations
Stated</t>
  </si>
  <si>
    <t xml:space="preserve">Authors'
Future Directions</t>
  </si>
  <si>
    <t xml:space="preserve">Excluded Demographics
/ Contexts</t>
  </si>
  <si>
    <t xml:space="preserve">Neglected
Variables</t>
  </si>
  <si>
    <t xml:space="preserve">Methodological
Weaknesses</t>
  </si>
  <si>
    <t xml:space="preserve">Alternative
Explanations</t>
  </si>
  <si>
    <t xml:space="preserve">Ecological
Validity</t>
  </si>
  <si>
    <t xml:space="preserve">Risk of
Bias</t>
  </si>
  <si>
    <t xml:space="preserve">Relevance
(1-5 ★)</t>
  </si>
  <si>
    <t xml:space="preserve">Conflicts &amp;
Tensions</t>
  </si>
  <si>
    <t xml:space="preserve">The Unanswered
Question</t>
  </si>
  <si>
    <t xml:space="preserve">Personal
Notes</t>
  </si>
  <si>
    <t>P001</t>
  </si>
  <si>
    <t>Smith et al. (2023). Hybrid CNN-LSTM for EEG Motor Imagery.</t>
  </si>
  <si>
    <t>Journal</t>
  </si>
  <si>
    <t>NSF Grant</t>
  </si>
  <si>
    <t>Can CNN-LSTM hybrids improve motor imagery BCI accuracy?</t>
  </si>
  <si>
    <t>Deep Learning feature extraction</t>
  </si>
  <si>
    <t>Motor imagery: mental execution of movement</t>
  </si>
  <si>
    <t>EEG noise can be ICA removed</t>
  </si>
  <si>
    <t>Positivism</t>
  </si>
  <si>
    <t>Controlled Lab</t>
  </si>
  <si>
    <t>Individual</t>
  </si>
  <si>
    <t>Cross-sectional</t>
  </si>
  <si>
    <t>ANOVA, PyTorch</t>
  </si>
  <si>
    <t>N/A</t>
  </si>
  <si>
    <t>10-fold CV</t>
  </si>
  <si>
    <t>109 subjects</t>
  </si>
  <si>
    <t>USA</t>
  </si>
  <si>
    <t>2020-2022</t>
  </si>
  <si>
    <t>Clinical/Researcher</t>
  </si>
  <si>
    <t>N</t>
  </si>
  <si>
    <t>Y</t>
  </si>
  <si>
    <t>BCI Competition IV</t>
  </si>
  <si>
    <t>EEG (64-ch)</t>
  </si>
  <si>
    <t>PhysioNet</t>
  </si>
  <si>
    <t>Bandpass + ICA</t>
  </si>
  <si>
    <t>Yes</t>
  </si>
  <si>
    <t>CNN-LSTM</t>
  </si>
  <si>
    <t>Hybrid CNN-LSTM</t>
  </si>
  <si>
    <t>CSP + PSD</t>
  </si>
  <si>
    <t>Adam / CrossEntropy</t>
  </si>
  <si>
    <t>EEG</t>
  </si>
  <si>
    <t>Mu/Beta band</t>
  </si>
  <si>
    <t>Motor Imagery BCI</t>
  </si>
  <si>
    <t>IV: CNN-LSTM model, DV: Classification accuracy</t>
  </si>
  <si>
    <t>Novel attention mechanism; 94% acc</t>
  </si>
  <si>
    <t>—</t>
  </si>
  <si>
    <t>EEGNet</t>
  </si>
  <si>
    <t>Large (Cohen's d=1.2)</t>
  </si>
  <si>
    <t>Deployable for severe motor impairment</t>
  </si>
  <si>
    <t>Small subject pool</t>
  </si>
  <si>
    <t>Lab conditions only</t>
  </si>
  <si>
    <t>Real-time deployment</t>
  </si>
  <si>
    <t>Non-western populations</t>
  </si>
  <si>
    <t>Fatigue over time</t>
  </si>
  <si>
    <t>No real-time test</t>
  </si>
  <si>
    <t>Overfitting to dataset</t>
  </si>
  <si>
    <t>Low</t>
  </si>
  <si>
    <t>Contradicts paper P003 on latency</t>
  </si>
  <si>
    <t>How does it perform on mobile edge?</t>
  </si>
  <si>
    <t>Strong baseline for neuro-ML work</t>
  </si>
  <si>
    <t>P002</t>
  </si>
  <si>
    <t>Kumar &amp; Lee (2022). Fault Detection in Power Grids via LSTM.</t>
  </si>
  <si>
    <t>DOE GridMod</t>
  </si>
  <si>
    <t>How effectively can LSTM classify distribution network faults?</t>
  </si>
  <si>
    <t>Time-series anomaly detection</t>
  </si>
  <si>
    <t>Grid fault: deviation &gt;10% nominal V</t>
  </si>
  <si>
    <t>Simulated faults represent real faults</t>
  </si>
  <si>
    <t>Pragmatism</t>
  </si>
  <si>
    <t>Simulation + Real Grid</t>
  </si>
  <si>
    <t>System level</t>
  </si>
  <si>
    <t>Longitudinal (1 yr SCADA)</t>
  </si>
  <si>
    <t>TensorFlow, GridLab-D</t>
  </si>
  <si>
    <t>Train/Test 80/20</t>
  </si>
  <si>
    <t>5000 fault events</t>
  </si>
  <si>
    <t>Europe</t>
  </si>
  <si>
    <t>Utility Operators</t>
  </si>
  <si>
    <t>IEEE 13-bus</t>
  </si>
  <si>
    <t>Time-series voltage</t>
  </si>
  <si>
    <t>Simulated + SCADA</t>
  </si>
  <si>
    <t>Wavelet decomposition</t>
  </si>
  <si>
    <t>Partial</t>
  </si>
  <si>
    <t>LSTM</t>
  </si>
  <si>
    <t>Stacked LSTM</t>
  </si>
  <si>
    <t>Wavelet features</t>
  </si>
  <si>
    <t>RMSprop / BCE</t>
  </si>
  <si>
    <t>IV: Wavelet features, DV: Fault type/location</t>
  </si>
  <si>
    <t>First wavelet-LSTM integration for grids</t>
  </si>
  <si>
    <t>SVM</t>
  </si>
  <si>
    <t>High</t>
  </si>
  <si>
    <t>Can reduce utility downtime by 20%</t>
  </si>
  <si>
    <t>No multi-fault scenario</t>
  </si>
  <si>
    <t>Idealized simulation data</t>
  </si>
  <si>
    <t>Adversarial fault injection</t>
  </si>
  <si>
    <t>Microgrids with high renewable penetration</t>
  </si>
  <si>
    <t>Weather correlates</t>
  </si>
  <si>
    <t>Single feeder topology</t>
  </si>
  <si>
    <t>Sensors miscalibrated</t>
  </si>
  <si>
    <t>Medium</t>
  </si>
  <si>
    <t>None yet</t>
  </si>
  <si>
    <t>Does it scale to 10k bus systems?</t>
  </si>
  <si>
    <t>Relevant to smart grid EE gap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</si>
  <si>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</si>
  <si>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</si>
  <si>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</si>
  <si>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</si>
  <si>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</si>
  <si>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</si>
  <si>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</si>
  <si>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</si>
  <si>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</si>
  <si>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</si>
  <si>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🔍 RESEARCH GAP TRACKER — Structured Opportunity Analysis</t>
  </si>
  <si>
    <t>Gap ID</t>
  </si>
  <si>
    <t>Gap Description</t>
  </si>
  <si>
    <t xml:space="preserve">Related Papers
(P001, P002…)</t>
  </si>
  <si>
    <t>Domain</t>
  </si>
  <si>
    <t>Sub-Domain / Topic</t>
  </si>
  <si>
    <t>Gap Type</t>
  </si>
  <si>
    <t xml:space="preserve">Evidence
Strength</t>
  </si>
  <si>
    <t xml:space="preserve">Novelty
Score (1-5)</t>
  </si>
  <si>
    <t xml:space="preserve">Feasibility
(1-5)</t>
  </si>
  <si>
    <t xml:space="preserve">Impact
(1-5)</t>
  </si>
  <si>
    <t xml:space="preserve">Priority
Score</t>
  </si>
  <si>
    <t xml:space="preserve">Your Hypothesis /
Proposed Solution</t>
  </si>
  <si>
    <t xml:space="preserve">Resources
Needed</t>
  </si>
  <si>
    <t>Status</t>
  </si>
  <si>
    <t>G001</t>
  </si>
  <si>
    <t>No cross-subject transfer learning evaluated for EEG motor imagery BCI systems in real-world noisy conditions</t>
  </si>
  <si>
    <t>P001, P004</t>
  </si>
  <si>
    <t>Neuroscience / ML</t>
  </si>
  <si>
    <t>EEG-BCI, Transfer Learning</t>
  </si>
  <si>
    <t>Methodological Gap</t>
  </si>
  <si>
    <t>High (4 papers agree)</t>
  </si>
  <si>
    <t>Propose subject-agnostic transformer with domain adaptation pre-training on multi-subject EEG corpora</t>
  </si>
  <si>
    <t>Multi-subject EEG dataset, GPU cluster, signal processing toolbox</t>
  </si>
  <si>
    <t>Active Research</t>
  </si>
  <si>
    <t>G002</t>
  </si>
  <si>
    <t>FPGA-based real-time inference for bio-signal data (EEG/ECG) remains unexplored vs. image-only FPGA acceleration</t>
  </si>
  <si>
    <t>P003, P005</t>
  </si>
  <si>
    <t>Electronics / Embedded AI</t>
  </si>
  <si>
    <t>FPGA, Edge AI, Bio-signals</t>
  </si>
  <si>
    <t>Cross-Domain Gap</t>
  </si>
  <si>
    <t>Medium (2 papers)</t>
  </si>
  <si>
    <t>Design HLS-based FPGA pipeline for streaming ECG arrhythmia detection achieving &lt;10ms latency</t>
  </si>
  <si>
    <t>Xilinx Zynq FPGA board, Vivado HLS, PTB-XL dataset</t>
  </si>
  <si>
    <t>Proposed</t>
  </si>
  <si>
    <t>G003</t>
  </si>
  <si>
    <t>G004</t>
  </si>
  <si>
    <t>G005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</si>
  <si>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</si>
  <si>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</si>
  <si>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</si>
  <si>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</si>
  <si>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</si>
  <si>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</si>
  <si>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</si>
  <si>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</si>
  <si>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</si>
  <si>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</si>
  <si>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</si>
  <si>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</si>
  <si>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⚙️ METHODOLOGY COMPARISON TABLE</t>
  </si>
  <si>
    <t>Paper ID</t>
  </si>
  <si>
    <t>Method / Model</t>
  </si>
  <si>
    <t>Category</t>
  </si>
  <si>
    <t xml:space="preserve">Input
Modality</t>
  </si>
  <si>
    <t xml:space="preserve">Parameters
(M)</t>
  </si>
  <si>
    <t xml:space="preserve">Training
Time</t>
  </si>
  <si>
    <t xml:space="preserve">Inference
Latency (ms)</t>
  </si>
  <si>
    <t>F1-Score</t>
  </si>
  <si>
    <t xml:space="preserve">Hardware
Used</t>
  </si>
  <si>
    <t xml:space="preserve">Energy
(W)</t>
  </si>
  <si>
    <t xml:space="preserve">Memory
(MB)</t>
  </si>
  <si>
    <t>Scalable?</t>
  </si>
  <si>
    <t xml:space="preserve">Real-Time
Capable?</t>
  </si>
  <si>
    <t xml:space="preserve">Open
Source?</t>
  </si>
  <si>
    <t>Reproducible?</t>
  </si>
  <si>
    <t>Strength</t>
  </si>
  <si>
    <t>Weakness</t>
  </si>
  <si>
    <t>CNN-LSTM Hybrid</t>
  </si>
  <si>
    <t>Deep Learning</t>
  </si>
  <si>
    <t>~4h (GPU)</t>
  </si>
  <si>
    <t>N/A (offline)</t>
  </si>
  <si>
    <t>NVIDIA RTX 3090</t>
  </si>
  <si>
    <t>250W (train)</t>
  </si>
  <si>
    <t>1,200</t>
  </si>
  <si>
    <t>No</t>
  </si>
  <si>
    <t>Strong temporal + spatial feature extraction; attention enhances class discrimination</t>
  </si>
  <si>
    <t>High compute; offline only; no subject-independent evaluation</t>
  </si>
  <si>
    <t>📋 READING PROGRESS TRACKER</t>
  </si>
  <si>
    <t>Title (Short)</t>
  </si>
  <si>
    <t>Authors</t>
  </si>
  <si>
    <t>Reading Status</t>
  </si>
  <si>
    <t>Date Added</t>
  </si>
  <si>
    <t>Date Read</t>
  </si>
  <si>
    <t xml:space="preserve">Abstract
Read?</t>
  </si>
  <si>
    <t xml:space="preserve">Full Text
Read?</t>
  </si>
  <si>
    <t xml:space="preserve">Notes
Added?</t>
  </si>
  <si>
    <t xml:space="preserve">Matrix
Filled?</t>
  </si>
  <si>
    <t>Priority</t>
  </si>
  <si>
    <t>Hybrid CNN-LSTM for EEG Motor Imagery</t>
  </si>
  <si>
    <t>Smith et al.</t>
  </si>
  <si>
    <t>Fully Read</t>
  </si>
  <si>
    <t>2026-01-10</t>
  </si>
  <si>
    <t>2026-01-12</t>
  </si>
  <si>
    <t>Fault Detection in Power Grids via LSTM</t>
  </si>
  <si>
    <t>Kumar &amp; Lee</t>
  </si>
  <si>
    <t>2026-01-15</t>
  </si>
  <si>
    <t>2026-01-18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</si>
  <si>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</si>
  <si>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</si>
  <si>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</si>
  <si>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</si>
  <si>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</si>
  <si>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</si>
  <si>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</si>
  <si>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</si>
  <si>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</si>
  <si>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</si>
  <si>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💾 DATASET INVENTORY — Key Datasets in Your Research Domain</t>
  </si>
  <si>
    <t>Dataset Name</t>
  </si>
  <si>
    <t>Signal / Data Type</t>
  </si>
  <si>
    <t>Size / #Samples</t>
  </si>
  <si>
    <t># Subjects/Channels</t>
  </si>
  <si>
    <t>Open Access?</t>
  </si>
  <si>
    <t>License</t>
  </si>
  <si>
    <t>URL / DOI</t>
  </si>
  <si>
    <t>Used In Papers</t>
  </si>
  <si>
    <t>Preprocessing Needed</t>
  </si>
  <si>
    <t>Limitation / Gap</t>
  </si>
  <si>
    <t>Your Notes</t>
  </si>
  <si>
    <t>BCI Competition IV (2a/2b)</t>
  </si>
  <si>
    <t>EEG/BCI</t>
  </si>
  <si>
    <t>EEG (22/3-ch)</t>
  </si>
  <si>
    <t>9 subjects × sessions</t>
  </si>
  <si>
    <t>9 subjects, 22 ch</t>
  </si>
  <si>
    <t>Public</t>
  </si>
  <si>
    <t>https://www.bbci.de/competition/iv/</t>
  </si>
  <si>
    <t>Bandpass, ICA, CSP</t>
  </si>
  <si>
    <t>Small N; lab conditions; limited session count; single paradigm</t>
  </si>
  <si>
    <t>Go-to EEG benchmark — well studied</t>
  </si>
  <si>
    <t>🗺️ DOMAIN COVERAGE MAP — Research Landscape Heatmap</t>
  </si>
  <si>
    <t>📋 Enter a count of papers covering each intersection. Use 0 if none. The heatmap colours update automatically.</t>
  </si>
  <si>
    <t>Domain \ Technique</t>
  </si>
  <si>
    <t>CNN</t>
  </si>
  <si>
    <t>RNN / LSTM</t>
  </si>
  <si>
    <t>Transformer</t>
  </si>
  <si>
    <t>GNN</t>
  </si>
  <si>
    <t>SVM / Classical ML</t>
  </si>
  <si>
    <t>Wavelet / DSP</t>
  </si>
  <si>
    <t>Federated Learning</t>
  </si>
  <si>
    <t>Transfer Learning</t>
  </si>
  <si>
    <t>Reinforcement Learning</t>
  </si>
  <si>
    <t>SNN / Spike</t>
  </si>
  <si>
    <t>Electrical Eng.</t>
  </si>
  <si>
    <t>Electronics</t>
  </si>
  <si>
    <t>Signal Processing</t>
  </si>
  <si>
    <t>Power Systems</t>
  </si>
  <si>
    <t>IoT / Embedded</t>
  </si>
  <si>
    <t>Control Systems</t>
  </si>
  <si>
    <t>ML / Deep Learning</t>
  </si>
  <si>
    <t>SNN / Neuromorphic</t>
  </si>
  <si>
    <t>EEG / BCIs</t>
  </si>
  <si>
    <t>ECG / Cardiac</t>
  </si>
  <si>
    <t>EMG / Motion</t>
  </si>
  <si>
    <t>Edge AI / FPGA</t>
  </si>
  <si>
    <t>💡 Legend: 0 (White) = No coverage → Dark Blue = High coverage | Cells with 0 = RESEARCH GAP opportunities!</t>
  </si>
  <si>
    <t>📈 TEMPORAL TREND ANALYSIS — Publication Volume &amp; Topic Evolution</t>
  </si>
  <si>
    <t>Topic / Year</t>
  </si>
  <si>
    <t>EEG/BCI + ML</t>
  </si>
  <si>
    <t>ECG + DL</t>
  </si>
  <si>
    <t>FPGA + AI</t>
  </si>
  <si>
    <t>Power Grid + ML</t>
  </si>
  <si>
    <t>Neuromorphic</t>
  </si>
  <si>
    <t>Federated Learning (EE)</t>
  </si>
  <si>
    <t>SNN</t>
  </si>
  <si>
    <t>IoT + ML</t>
  </si>
  <si>
    <t>Transfer Learning (Neuro)</t>
  </si>
  <si>
    <t>Explainable AI (EE/Medical)</t>
  </si>
  <si>
    <t>📌 Key Trend Insights (fill in as you review more papers):</t>
  </si>
  <si>
    <t>• Federated Learning applied to EE/medical domains is rapidly growing but still underexplored pre-2021 → HIGH GAP opportunity</t>
  </si>
  <si>
    <t>• SNN / Neuromorphic research is accelerating but bio-signal applications remain sparse → cross-domain gap</t>
  </si>
  <si>
    <t>• Explainable AI for EE/medical systems is emerging but lacks standardized benchmarks → methodological gap</t>
  </si>
  <si>
    <t>• FPGA + AI hardware acceleration is growing but mostly for vision — bio-signal edge inference is largely untouched</t>
  </si>
  <si>
    <t>• Transfer Learning for neural signals (EEG/EMG) is high-growth → subject-independent BCI is a key open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</si>
</sst>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color theme="1"/>
      <family val="2"/>
      <scheme val="minor"/>
      <sz val="11"/>
      <name val="Calibri"/>
    </font>
    <font>
      <b/>
      <color rgb="FFFFFFFF"/>
      <sz val="17"/>
      <name val="Calibri"/>
    </font>
    <font>
      <b/>
      <color rgb="FFFFFFFF"/>
      <sz val="12"/>
      <name val="Calibri"/>
    </font>
    <font>
      <b/>
      <color rgb="FF2D3748"/>
      <sz val="10"/>
      <name val="Calibri"/>
    </font>
    <font>
      <color rgb="FF2D3748"/>
      <sz val="10"/>
      <name val="Calibri"/>
    </font>
    <font>
      <b/>
      <color rgb="FFFFFFFF"/>
      <sz val="16"/>
      <name val="Calibri"/>
    </font>
    <font>
      <b/>
      <color rgb="FFFFFFFF"/>
      <sz val="10"/>
      <name val="Calibri"/>
    </font>
    <font>
      <b/>
      <color rgb="FFFFFFFF"/>
      <sz val="11"/>
      <name val="Calibri"/>
    </font>
    <font>
      <color rgb="FF000000"/>
      <sz val="10"/>
      <name val="Calibri"/>
    </font>
    <font>
      <b/>
      <color rgb="FFFFFFFF"/>
      <sz val="15"/>
      <name val="Calibri"/>
    </font>
    <font>
      <i/>
      <color rgb="FF4A5568"/>
      <sz val="10"/>
      <name val="Calibri"/>
    </font>
    <font>
      <b/>
      <color rgb="FFFFFFFF"/>
      <sz val="9"/>
      <name val="Calibri"/>
    </font>
    <font>
      <b/>
      <color rgb="FF000000"/>
      <sz val="11"/>
      <name val="Calibri"/>
    </font>
    <font>
      <b/>
      <color rgb="FFE07B00"/>
      <sz val="11"/>
      <name val="Calibri"/>
    </font>
    <font>
      <color rgb="FF000000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0D7377"/>
      </patternFill>
    </fill>
    <fill>
      <patternFill patternType="solid">
        <fgColor rgb="FFF0A500"/>
      </patternFill>
    </fill>
    <fill>
      <patternFill patternType="solid">
        <fgColor rgb="FFEBF4F5"/>
      </patternFill>
    </fill>
    <fill>
      <patternFill patternType="solid">
        <fgColor rgb="FFD4F5E9"/>
      </patternFill>
    </fill>
    <fill>
      <patternFill patternType="solid">
        <fgColor rgb="FFD4EFF0"/>
      </patternFill>
    </fill>
    <fill>
      <patternFill patternType="solid">
        <fgColor rgb="FFEDE7F6"/>
      </patternFill>
    </fill>
    <fill>
      <patternFill patternType="solid">
        <fgColor rgb="FFFFF3CD"/>
      </patternFill>
    </fill>
    <fill>
      <patternFill patternType="solid">
        <fgColor rgb="FF4A5568"/>
      </patternFill>
    </fill>
    <fill>
      <patternFill patternType="solid">
        <fgColor rgb="FFF7F8FA"/>
      </patternFill>
    </fill>
    <fill>
      <patternFill patternType="solid">
        <fgColor rgb="FF2D3748"/>
      </patternFill>
    </fill>
  </fills>
  <borders count="2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FormatPr defaultRowHeight="15" outlineLevelRow="0" outlineLevelCol="0" x14ac:dyDescent="55"/>
  <cols>
    <col min="1" max="1" width="9.285714285714286" customWidth="1"/>
    <col min="2" max="2" width="22" customWidth="1"/>
    <col min="3" max="3" width="42.142857142857146" customWidth="1"/>
    <col min="4" max="24" width="13.571428571428571" customWidth="1"/>
  </cols>
  <sheetData>
    <row r="1" ht="159" customHeight="1" spans="1:3" x14ac:dyDescent="0.25">
      <c r="A1" s="1" t="s">
        <v>0</v>
      </c>
      <c r="B1" s="1"/>
      <c r="C1" s="1"/>
    </row>
    <row r="2" ht="5.25" customHeight="1" spans="1:3" x14ac:dyDescent="0.25">
      <c r="A2" s="1"/>
      <c r="B2" s="1"/>
      <c r="C2" s="1"/>
    </row>
    <row r="3" ht="165" customHeight="1" spans="1:3" x14ac:dyDescent="0.25">
      <c r="A3" s="2" t="s">
        <v>1</v>
      </c>
      <c r="B3" s="2"/>
      <c r="C3" s="2"/>
    </row>
    <row r="5" ht="32.25" customHeight="1" spans="2:3" x14ac:dyDescent="0.25">
      <c r="B5" s="3" t="s">
        <v>2</v>
      </c>
      <c r="C5" s="4"/>
    </row>
    <row r="6" ht="51" customHeight="1" spans="2:3" x14ac:dyDescent="0.25">
      <c r="B6" s="5" t="s">
        <v>3</v>
      </c>
      <c r="C6" s="6" t="s">
        <v>4</v>
      </c>
    </row>
    <row r="7" ht="51" customHeight="1" spans="2:3" x14ac:dyDescent="0.25">
      <c r="B7" s="5" t="s">
        <v>5</v>
      </c>
      <c r="C7" s="6" t="s">
        <v>6</v>
      </c>
    </row>
    <row r="8" ht="51" customHeight="1" spans="2:3" x14ac:dyDescent="0.25">
      <c r="B8" s="5" t="s">
        <v>7</v>
      </c>
      <c r="C8" s="6" t="s">
        <v>8</v>
      </c>
    </row>
    <row r="9" ht="51" customHeight="1" spans="2:3" x14ac:dyDescent="0.25">
      <c r="B9" s="5" t="s">
        <v>9</v>
      </c>
      <c r="C9" s="6" t="s">
        <v>10</v>
      </c>
    </row>
    <row r="10" ht="39.75" customHeight="1" spans="2:3" x14ac:dyDescent="0.25">
      <c r="B10" s="5" t="s">
        <v>11</v>
      </c>
      <c r="C10" s="6" t="s">
        <v>12</v>
      </c>
    </row>
    <row r="11" ht="51" customHeight="1" spans="2:3" x14ac:dyDescent="0.25">
      <c r="B11" s="5" t="s">
        <v>13</v>
      </c>
      <c r="C11" s="6" t="s">
        <v>14</v>
      </c>
    </row>
    <row r="12" ht="39.75" customHeight="1" spans="2:3" x14ac:dyDescent="0.25">
      <c r="B12" s="5" t="s">
        <v>15</v>
      </c>
      <c r="C12" s="6" t="s">
        <v>16</v>
      </c>
    </row>
    <row r="14" ht="32.25" customHeight="1" spans="2:3" x14ac:dyDescent="0.25">
      <c r="B14" s="3" t="s">
        <v>17</v>
      </c>
      <c r="C14" s="4"/>
    </row>
    <row r="15" ht="51" customHeight="1" spans="2:3" x14ac:dyDescent="0.25">
      <c r="B15" s="7" t="s">
        <v>18</v>
      </c>
      <c r="C15" s="8" t="s">
        <v>19</v>
      </c>
    </row>
    <row r="16" ht="39.75" customHeight="1" spans="2:3" x14ac:dyDescent="0.25">
      <c r="B16" s="7" t="s">
        <v>20</v>
      </c>
      <c r="C16" s="8" t="s">
        <v>21</v>
      </c>
    </row>
    <row r="17" ht="51" customHeight="1" spans="2:3" x14ac:dyDescent="0.25">
      <c r="B17" s="7" t="s">
        <v>22</v>
      </c>
      <c r="C17" s="8" t="s">
        <v>23</v>
      </c>
    </row>
    <row r="18" ht="39.75" customHeight="1" spans="2:3" x14ac:dyDescent="0.25">
      <c r="B18" s="7" t="s">
        <v>24</v>
      </c>
      <c r="C18" s="8" t="s">
        <v>25</v>
      </c>
    </row>
    <row r="19" ht="51" customHeight="1" spans="2:3" x14ac:dyDescent="0.25">
      <c r="B19" s="7" t="s">
        <v>26</v>
      </c>
      <c r="C19" s="8" t="s">
        <v>27</v>
      </c>
    </row>
    <row r="20" ht="51" customHeight="1" spans="2:3" x14ac:dyDescent="0.25">
      <c r="B20" s="7" t="s">
        <v>28</v>
      </c>
      <c r="C20" s="8" t="s">
        <v>29</v>
      </c>
    </row>
    <row r="21" ht="51" customHeight="1" spans="2:3" x14ac:dyDescent="0.25">
      <c r="B21" s="7" t="s">
        <v>30</v>
      </c>
      <c r="C21" s="8" t="s">
        <v>31</v>
      </c>
    </row>
    <row r="23" ht="39.75" customHeight="1" spans="2:3" x14ac:dyDescent="0.25">
      <c r="B23" s="3" t="s">
        <v>32</v>
      </c>
      <c r="C23" s="4"/>
    </row>
    <row r="24" ht="39.75" customHeight="1" spans="2:3" x14ac:dyDescent="0.25">
      <c r="B24" s="9" t="s">
        <v>33</v>
      </c>
      <c r="C24" s="10" t="s">
        <v>34</v>
      </c>
    </row>
    <row r="25" ht="39.75" customHeight="1" spans="2:3" x14ac:dyDescent="0.25">
      <c r="B25" s="9" t="s">
        <v>35</v>
      </c>
      <c r="C25" s="10" t="s">
        <v>36</v>
      </c>
    </row>
    <row r="26" ht="39.75" customHeight="1" spans="2:3" x14ac:dyDescent="0.25">
      <c r="B26" s="9" t="s">
        <v>37</v>
      </c>
      <c r="C26" s="10" t="s">
        <v>38</v>
      </c>
    </row>
    <row r="27" ht="39.75" customHeight="1" spans="2:3" x14ac:dyDescent="0.25">
      <c r="B27" s="9" t="s">
        <v>39</v>
      </c>
      <c r="C27" s="10" t="s">
        <v>40</v>
      </c>
    </row>
    <row r="28" ht="39.75" customHeight="1" spans="2:3" x14ac:dyDescent="0.25">
      <c r="B28" s="9" t="s">
        <v>41</v>
      </c>
      <c r="C28" s="10" t="s">
        <v>42</v>
      </c>
    </row>
    <row r="29" ht="51" customHeight="1" spans="2:3" x14ac:dyDescent="0.25">
      <c r="B29" s="9" t="s">
        <v>43</v>
      </c>
      <c r="C29" s="10" t="s">
        <v>44</v>
      </c>
    </row>
    <row r="31" ht="39.75" customHeight="1" spans="2:3" x14ac:dyDescent="0.25">
      <c r="B31" s="3" t="s">
        <v>45</v>
      </c>
      <c r="C31" s="4"/>
    </row>
    <row r="32" ht="39.75" customHeight="1" spans="2:3" x14ac:dyDescent="0.25">
      <c r="B32" s="11" t="s">
        <v>46</v>
      </c>
      <c r="C32" s="12" t="s">
        <v>47</v>
      </c>
    </row>
    <row r="33" ht="39.75" customHeight="1" spans="2:3" x14ac:dyDescent="0.25">
      <c r="B33" s="11" t="s">
        <v>48</v>
      </c>
      <c r="C33" s="12" t="s">
        <v>49</v>
      </c>
    </row>
    <row r="34" ht="39.75" customHeight="1" spans="2:3" x14ac:dyDescent="0.25">
      <c r="B34" s="11" t="s">
        <v>50</v>
      </c>
      <c r="C34" s="12" t="s">
        <v>51</v>
      </c>
    </row>
    <row r="35" ht="39.75" customHeight="1" spans="2:3" x14ac:dyDescent="0.25">
      <c r="B35" s="11" t="s">
        <v>52</v>
      </c>
      <c r="C35" s="12" t="s">
        <v>53</v>
      </c>
    </row>
    <row r="37" ht="32.25" customHeight="1" spans="2:3" x14ac:dyDescent="0.25">
      <c r="B37" s="3" t="s">
        <v>54</v>
      </c>
      <c r="C37" s="4"/>
    </row>
    <row r="38" ht="39.75" customHeight="1" spans="2:3" x14ac:dyDescent="0.25">
      <c r="B38" s="13" t="s">
        <v>55</v>
      </c>
      <c r="C38" s="14" t="s">
        <v>56</v>
      </c>
    </row>
    <row r="39" ht="39.75" customHeight="1" spans="2:3" x14ac:dyDescent="0.25">
      <c r="B39" s="13" t="s">
        <v>57</v>
      </c>
      <c r="C39" s="14" t="s">
        <v>58</v>
      </c>
    </row>
    <row r="40" ht="39.75" customHeight="1" spans="2:3" x14ac:dyDescent="0.25">
      <c r="B40" s="13" t="s">
        <v>59</v>
      </c>
      <c r="C40" s="14" t="s">
        <v>60</v>
      </c>
    </row>
    <row r="41" ht="39.75" customHeight="1" spans="2:3" x14ac:dyDescent="0.25">
      <c r="B41" s="13" t="s">
        <v>61</v>
      </c>
      <c r="C41" s="14" t="s">
        <v>62</v>
      </c>
    </row>
    <row r="42" ht="32.25" customHeight="1" spans="2:3" x14ac:dyDescent="0.25">
      <c r="B42" s="13" t="s">
        <v>63</v>
      </c>
      <c r="C42" s="14" t="s">
        <v>64</v>
      </c>
    </row>
  </sheetData>
  <mergeCells count="2">
    <mergeCell ref="A1:C2"/>
    <mergeCell ref="A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40" customWidth="1"/>
    <col min="3" max="3" width="15" customWidth="1"/>
    <col min="4" max="4" width="9.285714285714286" customWidth="1"/>
    <col min="5" max="5" width="25" customWidth="1"/>
    <col min="6" max="6" width="35" customWidth="1"/>
    <col min="7" max="9" width="30" customWidth="1"/>
    <col min="10" max="10" width="20" customWidth="1"/>
    <col min="11" max="11" width="25" customWidth="1"/>
    <col min="12" max="13" width="20" customWidth="1"/>
    <col min="14" max="15" width="25" customWidth="1"/>
    <col min="16" max="16" width="18" customWidth="1"/>
    <col min="17" max="18" width="20" customWidth="1"/>
    <col min="19" max="19" width="15" customWidth="1"/>
    <col min="20" max="20" width="20" customWidth="1"/>
    <col min="21" max="22" width="12" customWidth="1"/>
    <col min="23" max="23" width="14" customWidth="1"/>
    <col min="24" max="25" width="12" customWidth="1"/>
    <col min="26" max="26" width="14" customWidth="1"/>
    <col min="27" max="27" width="20" customWidth="1"/>
    <col min="28" max="28" width="15" customWidth="1"/>
    <col min="29" max="29" width="18" customWidth="1"/>
    <col min="30" max="30" width="22" customWidth="1"/>
    <col min="31" max="31" width="10" customWidth="1"/>
    <col min="32" max="32" width="20" customWidth="1"/>
    <col min="33" max="33" width="10" customWidth="1"/>
    <col min="34" max="34" width="18" customWidth="1"/>
    <col min="35" max="35" width="20" customWidth="1"/>
    <col min="36" max="36" width="18" customWidth="1"/>
    <col min="37" max="37" width="15" customWidth="1"/>
    <col min="38" max="38" width="18" customWidth="1"/>
    <col min="39" max="39" width="20" customWidth="1"/>
    <col min="40" max="40" width="25" customWidth="1"/>
    <col min="41" max="41" width="35" customWidth="1"/>
    <col min="42" max="43" width="10" customWidth="1"/>
    <col min="44" max="44" width="12" customWidth="1"/>
    <col min="45" max="45" width="20" customWidth="1"/>
    <col min="46" max="46" width="15" customWidth="1"/>
    <col min="47" max="47" width="30" customWidth="1"/>
    <col min="48" max="48" width="35" customWidth="1"/>
    <col min="49" max="50" width="30" customWidth="1"/>
    <col min="51" max="52" width="25" customWidth="1"/>
    <col min="53" max="54" width="30" customWidth="1"/>
    <col min="55" max="56" width="20" customWidth="1"/>
    <col min="57" max="57" width="12" customWidth="1"/>
    <col min="58" max="60" width="35" customWidth="1"/>
  </cols>
  <sheetData>
    <row r="1" ht="243.75" customHeight="1" spans="1:60" x14ac:dyDescent="0.25">
      <c r="A1" s="15" t="s">
        <v>65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</row>
    <row r="2" ht="5.25" customHeight="1" spans="1:60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</row>
    <row r="3" ht="51" customHeight="1" spans="1:60" x14ac:dyDescent="0.25">
      <c r="A3" s="16" t="s">
        <v>66</v>
      </c>
      <c r="B3" s="16"/>
      <c r="C3" s="16"/>
      <c r="D3" s="16"/>
      <c r="E3" s="16"/>
      <c r="F3" s="17" t="s">
        <v>67</v>
      </c>
      <c r="G3" s="17"/>
      <c r="H3" s="17"/>
      <c r="I3" s="17"/>
      <c r="J3" s="17"/>
      <c r="K3" s="18" t="s">
        <v>68</v>
      </c>
      <c r="L3" s="18"/>
      <c r="M3" s="18"/>
      <c r="N3" s="18"/>
      <c r="O3" s="18"/>
      <c r="P3" s="18"/>
      <c r="Q3" s="16" t="s">
        <v>69</v>
      </c>
      <c r="R3" s="16"/>
      <c r="S3" s="16"/>
      <c r="T3" s="16"/>
      <c r="U3" s="17" t="s">
        <v>70</v>
      </c>
      <c r="V3" s="17"/>
      <c r="W3" s="17"/>
      <c r="X3" s="17"/>
      <c r="Y3" s="17"/>
      <c r="Z3" s="17"/>
      <c r="AA3" s="18" t="s">
        <v>71</v>
      </c>
      <c r="AB3" s="18"/>
      <c r="AC3" s="18"/>
      <c r="AD3" s="18"/>
      <c r="AE3" s="18"/>
      <c r="AF3" s="16" t="s">
        <v>72</v>
      </c>
      <c r="AG3" s="16"/>
      <c r="AH3" s="16"/>
      <c r="AI3" s="16"/>
      <c r="AJ3" s="16"/>
      <c r="AK3" s="17" t="s">
        <v>73</v>
      </c>
      <c r="AL3" s="17"/>
      <c r="AM3" s="17"/>
      <c r="AN3" s="18" t="s">
        <v>74</v>
      </c>
      <c r="AO3" s="18"/>
      <c r="AP3" s="18"/>
      <c r="AQ3" s="18"/>
      <c r="AR3" s="18"/>
      <c r="AS3" s="18"/>
      <c r="AT3" s="18"/>
      <c r="AU3" s="18"/>
      <c r="AV3" s="19" t="s">
        <v>75</v>
      </c>
      <c r="AW3" s="19"/>
      <c r="AX3" s="19"/>
      <c r="AY3" s="19"/>
      <c r="AZ3" s="19"/>
      <c r="BA3" s="19"/>
      <c r="BB3" s="19"/>
      <c r="BC3" s="19"/>
      <c r="BD3" s="19"/>
      <c r="BE3" s="16" t="s">
        <v>76</v>
      </c>
      <c r="BF3" s="16"/>
      <c r="BG3" s="16"/>
      <c r="BH3" s="16"/>
    </row>
    <row r="4" ht="54.75" customHeight="1" spans="1:60" x14ac:dyDescent="0.25">
      <c r="A4" s="20" t="s">
        <v>77</v>
      </c>
      <c r="B4" s="20" t="s">
        <v>78</v>
      </c>
      <c r="C4" s="20" t="s">
        <v>79</v>
      </c>
      <c r="D4" s="20" t="s">
        <v>80</v>
      </c>
      <c r="E4" s="20" t="s">
        <v>81</v>
      </c>
      <c r="F4" s="21" t="s">
        <v>82</v>
      </c>
      <c r="G4" s="21" t="s">
        <v>83</v>
      </c>
      <c r="H4" s="21" t="s">
        <v>84</v>
      </c>
      <c r="I4" s="21" t="s">
        <v>85</v>
      </c>
      <c r="J4" s="21" t="s">
        <v>86</v>
      </c>
      <c r="K4" s="22" t="s">
        <v>87</v>
      </c>
      <c r="L4" s="22" t="s">
        <v>88</v>
      </c>
      <c r="M4" s="22" t="s">
        <v>89</v>
      </c>
      <c r="N4" s="22" t="s">
        <v>90</v>
      </c>
      <c r="O4" s="22" t="s">
        <v>91</v>
      </c>
      <c r="P4" s="22" t="s">
        <v>92</v>
      </c>
      <c r="Q4" s="20" t="s">
        <v>93</v>
      </c>
      <c r="R4" s="20" t="s">
        <v>94</v>
      </c>
      <c r="S4" s="20" t="s">
        <v>95</v>
      </c>
      <c r="T4" s="20" t="s">
        <v>96</v>
      </c>
      <c r="U4" s="21" t="s">
        <v>97</v>
      </c>
      <c r="V4" s="21" t="s">
        <v>98</v>
      </c>
      <c r="W4" s="21" t="s">
        <v>99</v>
      </c>
      <c r="X4" s="21" t="s">
        <v>100</v>
      </c>
      <c r="Y4" s="21" t="s">
        <v>101</v>
      </c>
      <c r="Z4" s="21" t="s">
        <v>102</v>
      </c>
      <c r="AA4" s="22" t="s">
        <v>103</v>
      </c>
      <c r="AB4" s="22" t="s">
        <v>104</v>
      </c>
      <c r="AC4" s="22" t="s">
        <v>105</v>
      </c>
      <c r="AD4" s="22" t="s">
        <v>106</v>
      </c>
      <c r="AE4" s="22" t="s">
        <v>107</v>
      </c>
      <c r="AF4" s="20" t="s">
        <v>108</v>
      </c>
      <c r="AG4" s="20" t="s">
        <v>109</v>
      </c>
      <c r="AH4" s="20" t="s">
        <v>110</v>
      </c>
      <c r="AI4" s="20" t="s">
        <v>111</v>
      </c>
      <c r="AJ4" s="20" t="s">
        <v>112</v>
      </c>
      <c r="AK4" s="21" t="s">
        <v>113</v>
      </c>
      <c r="AL4" s="21" t="s">
        <v>114</v>
      </c>
      <c r="AM4" s="21" t="s">
        <v>115</v>
      </c>
      <c r="AN4" s="22" t="s">
        <v>116</v>
      </c>
      <c r="AO4" s="22" t="s">
        <v>117</v>
      </c>
      <c r="AP4" s="22" t="s">
        <v>118</v>
      </c>
      <c r="AQ4" s="22" t="s">
        <v>119</v>
      </c>
      <c r="AR4" s="22" t="s">
        <v>120</v>
      </c>
      <c r="AS4" s="22" t="s">
        <v>121</v>
      </c>
      <c r="AT4" s="22" t="s">
        <v>122</v>
      </c>
      <c r="AU4" s="22" t="s">
        <v>123</v>
      </c>
      <c r="AV4" s="23" t="s">
        <v>124</v>
      </c>
      <c r="AW4" s="23" t="s">
        <v>125</v>
      </c>
      <c r="AX4" s="23" t="s">
        <v>126</v>
      </c>
      <c r="AY4" s="23" t="s">
        <v>127</v>
      </c>
      <c r="AZ4" s="23" t="s">
        <v>128</v>
      </c>
      <c r="BA4" s="23" t="s">
        <v>129</v>
      </c>
      <c r="BB4" s="23" t="s">
        <v>130</v>
      </c>
      <c r="BC4" s="23" t="s">
        <v>131</v>
      </c>
      <c r="BD4" s="23" t="s">
        <v>132</v>
      </c>
      <c r="BE4" s="20" t="s">
        <v>133</v>
      </c>
      <c r="BF4" s="20" t="s">
        <v>134</v>
      </c>
      <c r="BG4" s="20" t="s">
        <v>135</v>
      </c>
      <c r="BH4" s="20" t="s">
        <v>136</v>
      </c>
    </row>
    <row r="5" ht="54.75" customHeight="1" spans="1:60" x14ac:dyDescent="0.25">
      <c r="A5" s="24" t="s">
        <v>137</v>
      </c>
      <c r="B5" s="24" t="s">
        <v>138</v>
      </c>
      <c r="C5" s="24" t="s">
        <v>139</v>
      </c>
      <c r="D5" s="24">
        <v>2023</v>
      </c>
      <c r="E5" s="24" t="s">
        <v>140</v>
      </c>
      <c r="F5" s="24" t="s">
        <v>141</v>
      </c>
      <c r="G5" s="24" t="s">
        <v>142</v>
      </c>
      <c r="H5" s="24" t="s">
        <v>143</v>
      </c>
      <c r="I5" s="24" t="s">
        <v>144</v>
      </c>
      <c r="J5" s="24" t="s">
        <v>145</v>
      </c>
      <c r="K5" s="24" t="s">
        <v>146</v>
      </c>
      <c r="L5" s="24" t="s">
        <v>147</v>
      </c>
      <c r="M5" s="24" t="s">
        <v>148</v>
      </c>
      <c r="N5" s="24" t="s">
        <v>149</v>
      </c>
      <c r="O5" s="24" t="s">
        <v>150</v>
      </c>
      <c r="P5" s="24" t="s">
        <v>151</v>
      </c>
      <c r="Q5" s="24" t="s">
        <v>152</v>
      </c>
      <c r="R5" s="24" t="s">
        <v>153</v>
      </c>
      <c r="S5" s="24" t="s">
        <v>154</v>
      </c>
      <c r="T5" s="24" t="s">
        <v>155</v>
      </c>
      <c r="U5" s="24" t="s">
        <v>156</v>
      </c>
      <c r="V5" s="24" t="s">
        <v>156</v>
      </c>
      <c r="W5" s="24" t="s">
        <v>157</v>
      </c>
      <c r="X5" s="24" t="s">
        <v>156</v>
      </c>
      <c r="Y5" s="24" t="s">
        <v>156</v>
      </c>
      <c r="Z5" s="24" t="s">
        <v>156</v>
      </c>
      <c r="AA5" s="24" t="s">
        <v>158</v>
      </c>
      <c r="AB5" s="24" t="s">
        <v>159</v>
      </c>
      <c r="AC5" s="24" t="s">
        <v>160</v>
      </c>
      <c r="AD5" s="24" t="s">
        <v>161</v>
      </c>
      <c r="AE5" s="24" t="s">
        <v>162</v>
      </c>
      <c r="AF5" s="24" t="s">
        <v>163</v>
      </c>
      <c r="AG5" s="24" t="s">
        <v>157</v>
      </c>
      <c r="AH5" s="24" t="s">
        <v>164</v>
      </c>
      <c r="AI5" s="24" t="s">
        <v>165</v>
      </c>
      <c r="AJ5" s="24" t="s">
        <v>166</v>
      </c>
      <c r="AK5" s="24" t="s">
        <v>167</v>
      </c>
      <c r="AL5" s="24" t="s">
        <v>168</v>
      </c>
      <c r="AM5" s="24" t="s">
        <v>169</v>
      </c>
      <c r="AN5" s="24" t="s">
        <v>170</v>
      </c>
      <c r="AO5" s="24" t="s">
        <v>171</v>
      </c>
      <c r="AP5" s="24">
        <v>94.2</v>
      </c>
      <c r="AQ5" s="24">
        <v>0.941</v>
      </c>
      <c r="AR5" s="24" t="s">
        <v>172</v>
      </c>
      <c r="AS5" s="24" t="s">
        <v>173</v>
      </c>
      <c r="AT5" s="24" t="s">
        <v>174</v>
      </c>
      <c r="AU5" s="24" t="s">
        <v>175</v>
      </c>
      <c r="AV5" s="24" t="s">
        <v>176</v>
      </c>
      <c r="AW5" s="24" t="s">
        <v>177</v>
      </c>
      <c r="AX5" s="24" t="s">
        <v>178</v>
      </c>
      <c r="AY5" s="24" t="s">
        <v>179</v>
      </c>
      <c r="AZ5" s="24" t="s">
        <v>180</v>
      </c>
      <c r="BA5" s="24" t="s">
        <v>181</v>
      </c>
      <c r="BB5" s="24" t="s">
        <v>182</v>
      </c>
      <c r="BC5" s="24" t="s">
        <v>183</v>
      </c>
      <c r="BD5" s="24" t="s">
        <v>183</v>
      </c>
      <c r="BE5" s="24">
        <v>5</v>
      </c>
      <c r="BF5" s="24" t="s">
        <v>184</v>
      </c>
      <c r="BG5" s="24" t="s">
        <v>185</v>
      </c>
      <c r="BH5" s="24" t="s">
        <v>186</v>
      </c>
    </row>
    <row r="6" ht="54.75" customHeight="1" spans="1:60" x14ac:dyDescent="0.25">
      <c r="A6" s="25" t="s">
        <v>187</v>
      </c>
      <c r="B6" s="25" t="s">
        <v>188</v>
      </c>
      <c r="C6" s="25" t="s">
        <v>139</v>
      </c>
      <c r="D6" s="25">
        <v>2022</v>
      </c>
      <c r="E6" s="25" t="s">
        <v>189</v>
      </c>
      <c r="F6" s="25" t="s">
        <v>190</v>
      </c>
      <c r="G6" s="25" t="s">
        <v>191</v>
      </c>
      <c r="H6" s="25" t="s">
        <v>192</v>
      </c>
      <c r="I6" s="25" t="s">
        <v>193</v>
      </c>
      <c r="J6" s="25" t="s">
        <v>194</v>
      </c>
      <c r="K6" s="25" t="s">
        <v>195</v>
      </c>
      <c r="L6" s="25" t="s">
        <v>196</v>
      </c>
      <c r="M6" s="25" t="s">
        <v>197</v>
      </c>
      <c r="N6" s="25" t="s">
        <v>198</v>
      </c>
      <c r="O6" s="25" t="s">
        <v>150</v>
      </c>
      <c r="P6" s="25" t="s">
        <v>199</v>
      </c>
      <c r="Q6" s="25" t="s">
        <v>200</v>
      </c>
      <c r="R6" s="25" t="s">
        <v>201</v>
      </c>
      <c r="S6" s="25">
        <v>2021</v>
      </c>
      <c r="T6" s="25" t="s">
        <v>202</v>
      </c>
      <c r="U6" s="25" t="s">
        <v>157</v>
      </c>
      <c r="V6" s="25" t="s">
        <v>156</v>
      </c>
      <c r="W6" s="25" t="s">
        <v>157</v>
      </c>
      <c r="X6" s="25" t="s">
        <v>157</v>
      </c>
      <c r="Y6" s="25" t="s">
        <v>156</v>
      </c>
      <c r="Z6" s="25" t="s">
        <v>157</v>
      </c>
      <c r="AA6" s="25" t="s">
        <v>203</v>
      </c>
      <c r="AB6" s="25" t="s">
        <v>204</v>
      </c>
      <c r="AC6" s="25" t="s">
        <v>205</v>
      </c>
      <c r="AD6" s="25" t="s">
        <v>206</v>
      </c>
      <c r="AE6" s="25" t="s">
        <v>207</v>
      </c>
      <c r="AF6" s="25" t="s">
        <v>208</v>
      </c>
      <c r="AG6" s="25" t="s">
        <v>157</v>
      </c>
      <c r="AH6" s="25" t="s">
        <v>209</v>
      </c>
      <c r="AI6" s="25" t="s">
        <v>210</v>
      </c>
      <c r="AJ6" s="25" t="s">
        <v>211</v>
      </c>
      <c r="AK6" s="25" t="s">
        <v>150</v>
      </c>
      <c r="AL6" s="25" t="s">
        <v>150</v>
      </c>
      <c r="AM6" s="25" t="s">
        <v>150</v>
      </c>
      <c r="AN6" s="25" t="s">
        <v>212</v>
      </c>
      <c r="AO6" s="25" t="s">
        <v>213</v>
      </c>
      <c r="AP6" s="25">
        <v>97.8</v>
      </c>
      <c r="AQ6" s="25">
        <v>0.975</v>
      </c>
      <c r="AR6" s="25">
        <v>0.032</v>
      </c>
      <c r="AS6" s="25" t="s">
        <v>214</v>
      </c>
      <c r="AT6" s="25" t="s">
        <v>215</v>
      </c>
      <c r="AU6" s="25" t="s">
        <v>216</v>
      </c>
      <c r="AV6" s="25" t="s">
        <v>217</v>
      </c>
      <c r="AW6" s="25" t="s">
        <v>218</v>
      </c>
      <c r="AX6" s="25" t="s">
        <v>219</v>
      </c>
      <c r="AY6" s="25" t="s">
        <v>220</v>
      </c>
      <c r="AZ6" s="25" t="s">
        <v>221</v>
      </c>
      <c r="BA6" s="25" t="s">
        <v>222</v>
      </c>
      <c r="BB6" s="25" t="s">
        <v>223</v>
      </c>
      <c r="BC6" s="25" t="s">
        <v>224</v>
      </c>
      <c r="BD6" s="25" t="s">
        <v>183</v>
      </c>
      <c r="BE6" s="25">
        <v>4</v>
      </c>
      <c r="BF6" s="25" t="s">
        <v>225</v>
      </c>
      <c r="BG6" s="25" t="s">
        <v>226</v>
      </c>
      <c r="BH6" s="25" t="s">
        <v>227</v>
      </c>
    </row>
    <row r="7" ht="50.25" customHeight="1" spans="1:60" x14ac:dyDescent="0.25">
      <c r="A7" s="24" t="s">
        <v>228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</row>
    <row r="8" ht="50.25" customHeight="1" spans="1:60" x14ac:dyDescent="0.25">
      <c r="A8" s="25" t="s">
        <v>229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</row>
    <row r="9" ht="50.25" customHeight="1" spans="1:60" x14ac:dyDescent="0.25">
      <c r="A9" s="24" t="s">
        <v>230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</row>
    <row r="10" ht="50.25" customHeight="1" spans="1:60" x14ac:dyDescent="0.25">
      <c r="A10" s="25" t="s">
        <v>231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</row>
    <row r="11" ht="50.25" customHeight="1" spans="1:60" x14ac:dyDescent="0.25">
      <c r="A11" s="24" t="s">
        <v>232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</row>
    <row r="12" ht="50.25" customHeight="1" spans="1:60" x14ac:dyDescent="0.25">
      <c r="A12" s="25" t="s">
        <v>233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</row>
    <row r="13" ht="50.25" customHeight="1" spans="1:60" x14ac:dyDescent="0.25">
      <c r="A13" s="24" t="s">
        <v>234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</row>
    <row r="14" ht="50.25" customHeight="1" spans="1:60" x14ac:dyDescent="0.25">
      <c r="A14" s="25" t="s">
        <v>235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</row>
    <row r="15" ht="50.25" customHeight="1" spans="1:60" x14ac:dyDescent="0.25">
      <c r="A15" s="24" t="s">
        <v>236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</row>
    <row r="16" ht="50.25" customHeight="1" spans="1:60" x14ac:dyDescent="0.25">
      <c r="A16" s="25" t="s">
        <v>237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</row>
  </sheetData>
  <mergeCells count="12">
    <mergeCell ref="A1:BH2"/>
    <mergeCell ref="A3:E3"/>
    <mergeCell ref="F3:J3"/>
    <mergeCell ref="K3:P3"/>
    <mergeCell ref="Q3:T3"/>
    <mergeCell ref="U3:Z3"/>
    <mergeCell ref="AA3:AE3"/>
    <mergeCell ref="AF3:AJ3"/>
    <mergeCell ref="AK3:AM3"/>
    <mergeCell ref="AN3:AU3"/>
    <mergeCell ref="AV3:BD3"/>
    <mergeCell ref="BE3:BH3"/>
  </mergeCells>
  <dataValidations count="8">
    <dataValidation type="list" sqref="AG10:AG100">
      <formula1>"Y,N,Partial"</formula1>
    </dataValidation>
    <dataValidation type="list" sqref="AG5:AG100">
      <formula1>"Y,N,Partial"</formula1>
    </dataValidation>
    <dataValidation type="list" sqref="BE10:BE100">
      <formula1>"1,2,3,4,5"</formula1>
    </dataValidation>
    <dataValidation type="list" sqref="BE5:BE100">
      <formula1>"1,2,3,4,5"</formula1>
    </dataValidation>
    <dataValidation type="list" sqref="C10:C100">
      <formula1>"Journal,Conference,Review,Book Chapter,Thesis,Preprint,Patent"</formula1>
    </dataValidation>
    <dataValidation type="list" sqref="C5:C100">
      <formula1>"Journal,Conference,Review,Book Chapter,Thesis,Preprint,Patent"</formula1>
    </dataValidation>
    <dataValidation type="list" sqref="U10:Z100">
      <formula1>"Y,N,Partial"</formula1>
    </dataValidation>
    <dataValidation type="list" sqref="U5:Z100">
      <formula1>"Y,N,Partial"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.142857142857146" customWidth="1"/>
    <col min="3" max="3" width="25" customWidth="1"/>
    <col min="4" max="4" width="18" customWidth="1"/>
    <col min="5" max="5" width="25" customWidth="1"/>
    <col min="6" max="6" width="20" customWidth="1"/>
    <col min="7" max="7" width="15" customWidth="1"/>
    <col min="8" max="11" width="12" customWidth="1"/>
    <col min="12" max="12" width="40" customWidth="1"/>
    <col min="13" max="13" width="25" customWidth="1"/>
    <col min="14" max="14" width="15" customWidth="1"/>
    <col min="15" max="24" width="13.571428571428571" customWidth="1"/>
  </cols>
  <sheetData>
    <row r="1" ht="118.5" customHeight="1" spans="1:14" x14ac:dyDescent="0.25">
      <c r="A1" s="26" t="s">
        <v>238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ht="42" customHeight="1" spans="1:14" x14ac:dyDescent="0.25">
      <c r="A3" s="20" t="s">
        <v>239</v>
      </c>
      <c r="B3" s="20" t="s">
        <v>240</v>
      </c>
      <c r="C3" s="20" t="s">
        <v>241</v>
      </c>
      <c r="D3" s="20" t="s">
        <v>242</v>
      </c>
      <c r="E3" s="20" t="s">
        <v>243</v>
      </c>
      <c r="F3" s="20" t="s">
        <v>244</v>
      </c>
      <c r="G3" s="20" t="s">
        <v>245</v>
      </c>
      <c r="H3" s="20" t="s">
        <v>246</v>
      </c>
      <c r="I3" s="20" t="s">
        <v>247</v>
      </c>
      <c r="J3" s="20" t="s">
        <v>248</v>
      </c>
      <c r="K3" s="20" t="s">
        <v>249</v>
      </c>
      <c r="L3" s="20" t="s">
        <v>250</v>
      </c>
      <c r="M3" s="20" t="s">
        <v>251</v>
      </c>
      <c r="N3" s="20" t="s">
        <v>252</v>
      </c>
    </row>
    <row r="4" ht="60" customHeight="1" spans="1:14" x14ac:dyDescent="0.25">
      <c r="A4" s="24" t="s">
        <v>253</v>
      </c>
      <c r="B4" s="24" t="s">
        <v>254</v>
      </c>
      <c r="C4" s="24" t="s">
        <v>255</v>
      </c>
      <c r="D4" s="24" t="s">
        <v>256</v>
      </c>
      <c r="E4" s="24" t="s">
        <v>257</v>
      </c>
      <c r="F4" s="24" t="s">
        <v>258</v>
      </c>
      <c r="G4" s="24" t="s">
        <v>259</v>
      </c>
      <c r="H4" s="24">
        <v>5</v>
      </c>
      <c r="I4" s="24">
        <v>4</v>
      </c>
      <c r="J4" s="24">
        <v>5</v>
      </c>
      <c r="K4" s="24">
        <f>H4*I4*J4</f>
      </c>
      <c r="L4" s="24" t="s">
        <v>260</v>
      </c>
      <c r="M4" s="24" t="s">
        <v>261</v>
      </c>
      <c r="N4" s="24" t="s">
        <v>262</v>
      </c>
    </row>
    <row r="5" ht="60" customHeight="1" spans="1:14" x14ac:dyDescent="0.25">
      <c r="A5" s="25" t="s">
        <v>263</v>
      </c>
      <c r="B5" s="25" t="s">
        <v>264</v>
      </c>
      <c r="C5" s="25" t="s">
        <v>265</v>
      </c>
      <c r="D5" s="25" t="s">
        <v>266</v>
      </c>
      <c r="E5" s="25" t="s">
        <v>267</v>
      </c>
      <c r="F5" s="25" t="s">
        <v>268</v>
      </c>
      <c r="G5" s="25" t="s">
        <v>269</v>
      </c>
      <c r="H5" s="25">
        <v>5</v>
      </c>
      <c r="I5" s="25">
        <v>4</v>
      </c>
      <c r="J5" s="25">
        <v>5</v>
      </c>
      <c r="K5" s="25">
        <f>H5*I5*J5</f>
      </c>
      <c r="L5" s="25" t="s">
        <v>270</v>
      </c>
      <c r="M5" s="25" t="s">
        <v>271</v>
      </c>
      <c r="N5" s="25" t="s">
        <v>272</v>
      </c>
    </row>
    <row r="6" ht="50.25" customHeight="1" spans="1:14" x14ac:dyDescent="0.25">
      <c r="A6" s="24" t="s">
        <v>273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</row>
    <row r="7" ht="50.25" customHeight="1" spans="1:14" x14ac:dyDescent="0.25">
      <c r="A7" s="25" t="s">
        <v>274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ht="50.25" customHeight="1" spans="1:14" x14ac:dyDescent="0.25">
      <c r="A8" s="24" t="s">
        <v>275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</row>
    <row r="9" ht="50.25" customHeight="1" spans="1:14" x14ac:dyDescent="0.25">
      <c r="A9" s="25" t="s">
        <v>276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</row>
    <row r="10" ht="50.25" customHeight="1" spans="1:14" x14ac:dyDescent="0.25">
      <c r="A10" s="24" t="s">
        <v>277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</row>
    <row r="11" ht="50.25" customHeight="1" spans="1:14" x14ac:dyDescent="0.25">
      <c r="A11" s="25" t="s">
        <v>278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</row>
    <row r="12" ht="50.25" customHeight="1" spans="1:14" x14ac:dyDescent="0.25">
      <c r="A12" s="24" t="s">
        <v>279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</row>
    <row r="13" ht="50.25" customHeight="1" spans="1:14" x14ac:dyDescent="0.25">
      <c r="A13" s="25" t="s">
        <v>280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ht="50.25" customHeight="1" spans="1:14" x14ac:dyDescent="0.25">
      <c r="A14" s="24" t="s">
        <v>281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</row>
    <row r="15" ht="50.25" customHeight="1" spans="1:14" x14ac:dyDescent="0.25">
      <c r="A15" s="25" t="s">
        <v>282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ht="50.25" customHeight="1" spans="1:14" x14ac:dyDescent="0.25">
      <c r="A16" s="24" t="s">
        <v>283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</row>
    <row r="17" ht="50.25" customHeight="1" spans="1:14" x14ac:dyDescent="0.25">
      <c r="A17" s="25" t="s">
        <v>284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</row>
    <row r="18" ht="50.25" customHeight="1" spans="1:14" x14ac:dyDescent="0.25">
      <c r="A18" s="24" t="s">
        <v>285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</row>
    <row r="19" ht="50.25" customHeight="1" spans="1:14" x14ac:dyDescent="0.25">
      <c r="A19" s="25" t="s">
        <v>286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</row>
    <row r="20" ht="50.25" customHeight="1" spans="1:14" x14ac:dyDescent="0.25">
      <c r="A20" s="24" t="s">
        <v>287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</row>
  </sheetData>
  <mergeCells count="1">
    <mergeCell ref="A1:N2"/>
  </mergeCells>
  <dataValidations count="4">
    <dataValidation type="list" sqref="F10:F100">
      <formula1>"Methodological Gap,Dataset/Data Gap,Theoretical Gap,Validation Gap,Application Gap,Cross-Domain Gap,Hardware-SW Integration Gap,Real-World Deployment Gap"</formula1>
    </dataValidation>
    <dataValidation type="list" sqref="F4:F100">
      <formula1>"Methodological Gap,Dataset/Data Gap,Theoretical Gap,Validation Gap,Application Gap,Cross-Domain Gap,Hardware-SW Integration Gap,Real-World Deployment Gap"</formula1>
    </dataValidation>
    <dataValidation type="list" sqref="N10:N100">
      <formula1>"Idea Stage,Proposed,Active Research,In Progress,Completed,Abandoned"</formula1>
    </dataValidation>
    <dataValidation type="list" sqref="N4:N100">
      <formula1>"Idea Stage,Proposed,Active Research,In Progress,Completed,Abandoned"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5" customWidth="1"/>
    <col min="3" max="3" width="20" customWidth="1"/>
    <col min="4" max="4" width="15" customWidth="1"/>
    <col min="5" max="5" width="12" customWidth="1"/>
    <col min="6" max="6" width="15" customWidth="1"/>
    <col min="7" max="7" width="16" customWidth="1"/>
    <col min="8" max="9" width="12" customWidth="1"/>
    <col min="10" max="10" width="18" customWidth="1"/>
    <col min="11" max="11" width="10" customWidth="1"/>
    <col min="12" max="13" width="12" customWidth="1"/>
    <col min="14" max="14" width="14" customWidth="1"/>
    <col min="15" max="15" width="12" customWidth="1"/>
    <col min="16" max="16" width="14" customWidth="1"/>
    <col min="17" max="18" width="35" customWidth="1"/>
    <col min="19" max="24" width="13.571428571428571" customWidth="1"/>
  </cols>
  <sheetData>
    <row r="1" ht="80.25" customHeight="1" spans="1:18" x14ac:dyDescent="0.25">
      <c r="A1" s="26" t="s">
        <v>288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</row>
    <row r="3" ht="42" customHeight="1" spans="1:18" x14ac:dyDescent="0.25">
      <c r="A3" s="20" t="s">
        <v>289</v>
      </c>
      <c r="B3" s="20" t="s">
        <v>290</v>
      </c>
      <c r="C3" s="20" t="s">
        <v>291</v>
      </c>
      <c r="D3" s="20" t="s">
        <v>292</v>
      </c>
      <c r="E3" s="20" t="s">
        <v>293</v>
      </c>
      <c r="F3" s="20" t="s">
        <v>294</v>
      </c>
      <c r="G3" s="20" t="s">
        <v>295</v>
      </c>
      <c r="H3" s="20" t="s">
        <v>118</v>
      </c>
      <c r="I3" s="20" t="s">
        <v>296</v>
      </c>
      <c r="J3" s="20" t="s">
        <v>297</v>
      </c>
      <c r="K3" s="20" t="s">
        <v>298</v>
      </c>
      <c r="L3" s="20" t="s">
        <v>299</v>
      </c>
      <c r="M3" s="20" t="s">
        <v>300</v>
      </c>
      <c r="N3" s="20" t="s">
        <v>301</v>
      </c>
      <c r="O3" s="20" t="s">
        <v>302</v>
      </c>
      <c r="P3" s="20" t="s">
        <v>303</v>
      </c>
      <c r="Q3" s="20" t="s">
        <v>304</v>
      </c>
      <c r="R3" s="20" t="s">
        <v>305</v>
      </c>
    </row>
    <row r="4" ht="54.75" customHeight="1" spans="1:18" x14ac:dyDescent="0.25">
      <c r="A4" s="24" t="s">
        <v>137</v>
      </c>
      <c r="B4" s="24" t="s">
        <v>306</v>
      </c>
      <c r="C4" s="24" t="s">
        <v>307</v>
      </c>
      <c r="D4" s="24" t="s">
        <v>159</v>
      </c>
      <c r="E4" s="24">
        <v>2.3</v>
      </c>
      <c r="F4" s="24" t="s">
        <v>308</v>
      </c>
      <c r="G4" s="24" t="s">
        <v>309</v>
      </c>
      <c r="H4" s="24">
        <v>94.2</v>
      </c>
      <c r="I4" s="24">
        <v>0.941</v>
      </c>
      <c r="J4" s="24" t="s">
        <v>310</v>
      </c>
      <c r="K4" s="24" t="s">
        <v>311</v>
      </c>
      <c r="L4" s="24" t="s">
        <v>312</v>
      </c>
      <c r="M4" s="24" t="s">
        <v>207</v>
      </c>
      <c r="N4" s="24" t="s">
        <v>313</v>
      </c>
      <c r="O4" s="24" t="s">
        <v>313</v>
      </c>
      <c r="P4" s="24" t="s">
        <v>207</v>
      </c>
      <c r="Q4" s="24" t="s">
        <v>314</v>
      </c>
      <c r="R4" s="24" t="s">
        <v>315</v>
      </c>
    </row>
    <row r="5" ht="45" customHeight="1" spans="1:18" x14ac:dyDescent="0.25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</row>
    <row r="6" ht="45" customHeight="1" spans="1:18" x14ac:dyDescent="0.25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</row>
    <row r="7" ht="45" customHeight="1" spans="1:18" x14ac:dyDescent="0.2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</row>
    <row r="8" ht="45" customHeight="1" spans="1:18" x14ac:dyDescent="0.25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ht="45" customHeight="1" spans="1:18" x14ac:dyDescent="0.25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</row>
    <row r="10" ht="45" customHeight="1" spans="1:18" x14ac:dyDescent="0.25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</row>
    <row r="11" ht="45" customHeight="1" spans="1:18" x14ac:dyDescent="0.25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</row>
    <row r="12" ht="45" customHeight="1" spans="1:18" x14ac:dyDescent="0.25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</row>
    <row r="13" ht="45" customHeight="1" spans="1:18" x14ac:dyDescent="0.25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</row>
    <row r="14" ht="45" customHeight="1" spans="1:18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ht="45" customHeight="1" spans="1:18" x14ac:dyDescent="0.2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</row>
    <row r="16" ht="45" customHeight="1" spans="1:18" x14ac:dyDescent="0.2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</row>
    <row r="17" ht="45" customHeight="1" spans="1:18" x14ac:dyDescent="0.25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</row>
    <row r="18" ht="45" customHeight="1" spans="1:18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</row>
    <row r="19" ht="45" customHeight="1" spans="1:18" x14ac:dyDescent="0.25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</row>
  </sheetData>
  <mergeCells count="1">
    <mergeCell ref="A1:R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0" customWidth="1"/>
    <col min="3" max="3" width="30" customWidth="1"/>
    <col min="4" max="4" width="9.285714285714286" customWidth="1"/>
    <col min="5" max="5" width="18" customWidth="1"/>
    <col min="6" max="7" width="14" customWidth="1"/>
    <col min="8" max="8" width="12" customWidth="1"/>
    <col min="9" max="9" width="14" customWidth="1"/>
    <col min="10" max="12" width="12" customWidth="1"/>
    <col min="13" max="24" width="13.571428571428571" customWidth="1"/>
  </cols>
  <sheetData>
    <row r="1" ht="67.5" customHeight="1" spans="1:12" x14ac:dyDescent="0.25">
      <c r="A1" s="26" t="s">
        <v>316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ht="42" customHeight="1" spans="1:12" x14ac:dyDescent="0.25">
      <c r="A3" s="20" t="s">
        <v>289</v>
      </c>
      <c r="B3" s="20" t="s">
        <v>317</v>
      </c>
      <c r="C3" s="20" t="s">
        <v>318</v>
      </c>
      <c r="D3" s="20" t="s">
        <v>80</v>
      </c>
      <c r="E3" s="20" t="s">
        <v>319</v>
      </c>
      <c r="F3" s="20" t="s">
        <v>320</v>
      </c>
      <c r="G3" s="20" t="s">
        <v>321</v>
      </c>
      <c r="H3" s="20" t="s">
        <v>322</v>
      </c>
      <c r="I3" s="20" t="s">
        <v>323</v>
      </c>
      <c r="J3" s="20" t="s">
        <v>324</v>
      </c>
      <c r="K3" s="20" t="s">
        <v>325</v>
      </c>
      <c r="L3" s="20" t="s">
        <v>326</v>
      </c>
    </row>
    <row r="4" ht="30" customHeight="1" spans="1:12" x14ac:dyDescent="0.25">
      <c r="A4" s="24" t="s">
        <v>137</v>
      </c>
      <c r="B4" s="24" t="s">
        <v>327</v>
      </c>
      <c r="C4" s="24" t="s">
        <v>328</v>
      </c>
      <c r="D4" s="24">
        <v>2023</v>
      </c>
      <c r="E4" s="24" t="s">
        <v>329</v>
      </c>
      <c r="F4" s="24" t="s">
        <v>330</v>
      </c>
      <c r="G4" s="24" t="s">
        <v>331</v>
      </c>
      <c r="H4" s="24" t="s">
        <v>157</v>
      </c>
      <c r="I4" s="24" t="s">
        <v>157</v>
      </c>
      <c r="J4" s="24" t="s">
        <v>157</v>
      </c>
      <c r="K4" s="24" t="s">
        <v>157</v>
      </c>
      <c r="L4" s="24" t="s">
        <v>215</v>
      </c>
    </row>
    <row r="5" ht="30" customHeight="1" spans="1:12" x14ac:dyDescent="0.25">
      <c r="A5" s="25" t="s">
        <v>187</v>
      </c>
      <c r="B5" s="25" t="s">
        <v>332</v>
      </c>
      <c r="C5" s="25" t="s">
        <v>333</v>
      </c>
      <c r="D5" s="25">
        <v>2022</v>
      </c>
      <c r="E5" s="25" t="s">
        <v>329</v>
      </c>
      <c r="F5" s="25" t="s">
        <v>334</v>
      </c>
      <c r="G5" s="25" t="s">
        <v>335</v>
      </c>
      <c r="H5" s="25" t="s">
        <v>157</v>
      </c>
      <c r="I5" s="25" t="s">
        <v>157</v>
      </c>
      <c r="J5" s="25" t="s">
        <v>157</v>
      </c>
      <c r="K5" s="25" t="s">
        <v>157</v>
      </c>
      <c r="L5" s="25" t="s">
        <v>215</v>
      </c>
    </row>
    <row r="6" ht="28.5" customHeight="1" spans="1:12" x14ac:dyDescent="0.25">
      <c r="A6" s="24" t="s">
        <v>228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</row>
    <row r="7" ht="28.5" customHeight="1" spans="1:12" x14ac:dyDescent="0.25">
      <c r="A7" s="25" t="s">
        <v>229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28.5" customHeight="1" spans="1:12" x14ac:dyDescent="0.25">
      <c r="A8" s="24" t="s">
        <v>230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</row>
    <row r="9" ht="28.5" customHeight="1" spans="1:12" x14ac:dyDescent="0.25">
      <c r="A9" s="25" t="s">
        <v>231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ht="28.5" customHeight="1" spans="1:12" x14ac:dyDescent="0.25">
      <c r="A10" s="24" t="s">
        <v>232</v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</row>
    <row r="11" ht="28.5" customHeight="1" spans="1:12" x14ac:dyDescent="0.25">
      <c r="A11" s="25" t="s">
        <v>233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ht="28.5" customHeight="1" spans="1:12" x14ac:dyDescent="0.25">
      <c r="A12" s="24" t="s">
        <v>234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</row>
    <row r="13" ht="28.5" customHeight="1" spans="1:12" x14ac:dyDescent="0.25">
      <c r="A13" s="25" t="s">
        <v>235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ht="28.5" customHeight="1" spans="1:12" x14ac:dyDescent="0.25">
      <c r="A14" s="24" t="s">
        <v>236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</row>
    <row r="15" ht="28.5" customHeight="1" spans="1:12" x14ac:dyDescent="0.25">
      <c r="A15" s="25" t="s">
        <v>237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ht="28.5" customHeight="1" spans="1:12" x14ac:dyDescent="0.25">
      <c r="A16" s="24" t="s">
        <v>336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</row>
    <row r="17" ht="28.5" customHeight="1" spans="1:12" x14ac:dyDescent="0.25">
      <c r="A17" s="25" t="s">
        <v>337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ht="28.5" customHeight="1" spans="1:12" x14ac:dyDescent="0.25">
      <c r="A18" s="24" t="s">
        <v>338</v>
      </c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</row>
    <row r="19" ht="28.5" customHeight="1" spans="1:12" x14ac:dyDescent="0.25">
      <c r="A19" s="25" t="s">
        <v>339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ht="28.5" customHeight="1" spans="1:12" x14ac:dyDescent="0.25">
      <c r="A20" s="24" t="s">
        <v>340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</row>
    <row r="21" ht="28.5" customHeight="1" spans="1:12" x14ac:dyDescent="0.25">
      <c r="A21" s="25" t="s">
        <v>341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ht="28.5" customHeight="1" spans="1:12" x14ac:dyDescent="0.25">
      <c r="A22" s="24" t="s">
        <v>342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</row>
    <row r="23" ht="28.5" customHeight="1" spans="1:12" x14ac:dyDescent="0.25">
      <c r="A23" s="25" t="s">
        <v>343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ht="28.5" customHeight="1" spans="1:12" x14ac:dyDescent="0.25">
      <c r="A24" s="24" t="s">
        <v>344</v>
      </c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</row>
    <row r="25" ht="28.5" customHeight="1" spans="1:12" x14ac:dyDescent="0.25">
      <c r="A25" s="25" t="s">
        <v>345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</sheetData>
  <mergeCells count="1">
    <mergeCell ref="A1:L2"/>
  </mergeCells>
  <dataValidations count="6">
    <dataValidation type="list" sqref="E10:E100">
      <formula1>"Not Started,Queued,Skimmed,Abstract Only,Notes Only,Partially Read,Fully Read"</formula1>
    </dataValidation>
    <dataValidation type="list" sqref="E4:E100">
      <formula1>"Not Started,Queued,Skimmed,Abstract Only,Notes Only,Partially Read,Fully Read"</formula1>
    </dataValidation>
    <dataValidation type="list" sqref="H10:K100">
      <formula1>"Y,N"</formula1>
    </dataValidation>
    <dataValidation type="list" sqref="H4:K100">
      <formula1>"Y,N"</formula1>
    </dataValidation>
    <dataValidation type="list" sqref="L10:L100">
      <formula1>"High,Medium,Low"</formula1>
    </dataValidation>
    <dataValidation type="list" sqref="L4:L1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20" customWidth="1"/>
    <col min="3" max="5" width="18" customWidth="1"/>
    <col min="6" max="6" width="12" customWidth="1"/>
    <col min="7" max="7" width="15" customWidth="1"/>
    <col min="8" max="8" width="35" customWidth="1"/>
    <col min="9" max="9" width="18" customWidth="1"/>
    <col min="10" max="10" width="25" customWidth="1"/>
    <col min="11" max="11" width="35" customWidth="1"/>
    <col min="12" max="12" width="25" customWidth="1"/>
    <col min="13" max="13" width="12" customWidth="1"/>
    <col min="14" max="24" width="13.571428571428571" customWidth="1"/>
  </cols>
  <sheetData>
    <row r="1" ht="54.75" customHeight="1" spans="1:13" x14ac:dyDescent="0.25">
      <c r="A1" s="26" t="s">
        <v>346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ht="42" customHeight="1" spans="1:13" x14ac:dyDescent="0.25">
      <c r="A3" s="20" t="s">
        <v>347</v>
      </c>
      <c r="B3" s="20" t="s">
        <v>242</v>
      </c>
      <c r="C3" s="20" t="s">
        <v>348</v>
      </c>
      <c r="D3" s="20" t="s">
        <v>349</v>
      </c>
      <c r="E3" s="20" t="s">
        <v>350</v>
      </c>
      <c r="F3" s="20" t="s">
        <v>351</v>
      </c>
      <c r="G3" s="20" t="s">
        <v>352</v>
      </c>
      <c r="H3" s="20" t="s">
        <v>353</v>
      </c>
      <c r="I3" s="20" t="s">
        <v>354</v>
      </c>
      <c r="J3" s="20" t="s">
        <v>355</v>
      </c>
      <c r="K3" s="20" t="s">
        <v>356</v>
      </c>
      <c r="L3" s="20" t="s">
        <v>357</v>
      </c>
      <c r="M3" s="20" t="s">
        <v>326</v>
      </c>
    </row>
    <row r="4" ht="50.25" customHeight="1" spans="1:13" x14ac:dyDescent="0.25">
      <c r="A4" s="24" t="s">
        <v>358</v>
      </c>
      <c r="B4" s="24" t="s">
        <v>359</v>
      </c>
      <c r="C4" s="24" t="s">
        <v>360</v>
      </c>
      <c r="D4" s="24" t="s">
        <v>361</v>
      </c>
      <c r="E4" s="24" t="s">
        <v>362</v>
      </c>
      <c r="F4" s="24" t="s">
        <v>162</v>
      </c>
      <c r="G4" s="24" t="s">
        <v>363</v>
      </c>
      <c r="H4" s="24" t="s">
        <v>364</v>
      </c>
      <c r="I4" s="24" t="s">
        <v>137</v>
      </c>
      <c r="J4" s="24" t="s">
        <v>365</v>
      </c>
      <c r="K4" s="24" t="s">
        <v>366</v>
      </c>
      <c r="L4" s="24" t="s">
        <v>367</v>
      </c>
      <c r="M4" s="24" t="s">
        <v>215</v>
      </c>
    </row>
    <row r="5" ht="39.75" customHeight="1" spans="1:13" x14ac:dyDescent="0.25">
      <c r="A5" s="24"/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</row>
    <row r="6" ht="39.75" customHeight="1" spans="1:13" x14ac:dyDescent="0.25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ht="39.75" customHeight="1" spans="1:13" x14ac:dyDescent="0.2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</row>
    <row r="8" ht="39.75" customHeight="1" spans="1:13" x14ac:dyDescent="0.25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ht="39.75" customHeight="1" spans="1:13" x14ac:dyDescent="0.25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</row>
    <row r="10" ht="39.75" customHeight="1" spans="1:13" x14ac:dyDescent="0.25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</row>
    <row r="11" ht="39.75" customHeight="1" spans="1:13" x14ac:dyDescent="0.25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</row>
    <row r="12" ht="39.75" customHeight="1" spans="1:13" x14ac:dyDescent="0.25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</row>
    <row r="13" ht="39.75" customHeight="1" spans="1:13" x14ac:dyDescent="0.25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</row>
    <row r="14" ht="39.75" customHeight="1" spans="1:13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</row>
  </sheetData>
  <mergeCells count="1">
    <mergeCell ref="A1:M2"/>
  </mergeCells>
  <dataValidations count="2">
    <dataValidation type="list" sqref="M10:M100">
      <formula1>"High,Medium,Low"</formula1>
    </dataValidation>
    <dataValidation type="list" sqref="M4:M1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FormatPr defaultRowHeight="15" outlineLevelRow="0" outlineLevelCol="0" x14ac:dyDescent="55"/>
  <cols>
    <col min="1" max="1" width="22" customWidth="1"/>
    <col min="2" max="11" width="16" customWidth="1"/>
    <col min="12" max="24" width="13.571428571428571" customWidth="1"/>
  </cols>
  <sheetData>
    <row r="1" ht="54.75" customHeight="1" spans="1:12" x14ac:dyDescent="0.25">
      <c r="A1" s="26" t="s">
        <v>368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spans="1:12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ht="74.25" customHeight="1" spans="1:12" x14ac:dyDescent="0.25">
      <c r="A3" s="27" t="s">
        <v>369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ht="37.5" customHeight="1" spans="1:11" x14ac:dyDescent="0.25">
      <c r="A4" s="28" t="s">
        <v>370</v>
      </c>
      <c r="B4" s="29" t="s">
        <v>371</v>
      </c>
      <c r="C4" s="29" t="s">
        <v>372</v>
      </c>
      <c r="D4" s="29" t="s">
        <v>373</v>
      </c>
      <c r="E4" s="29" t="s">
        <v>374</v>
      </c>
      <c r="F4" s="29" t="s">
        <v>375</v>
      </c>
      <c r="G4" s="29" t="s">
        <v>376</v>
      </c>
      <c r="H4" s="29" t="s">
        <v>377</v>
      </c>
      <c r="I4" s="29" t="s">
        <v>378</v>
      </c>
      <c r="J4" s="29" t="s">
        <v>379</v>
      </c>
      <c r="K4" s="29" t="s">
        <v>380</v>
      </c>
    </row>
    <row r="5" ht="29.25" customHeight="1" spans="1:11" x14ac:dyDescent="0.25">
      <c r="A5" s="18" t="s">
        <v>381</v>
      </c>
      <c r="B5" s="30">
        <v>5</v>
      </c>
      <c r="C5" s="30">
        <v>4</v>
      </c>
      <c r="D5" s="30">
        <v>3</v>
      </c>
      <c r="E5" s="30">
        <v>1</v>
      </c>
      <c r="F5" s="30">
        <v>2</v>
      </c>
      <c r="G5" s="30">
        <v>1</v>
      </c>
      <c r="H5" s="30">
        <v>0</v>
      </c>
      <c r="I5" s="30">
        <v>3</v>
      </c>
      <c r="J5" s="30">
        <v>1</v>
      </c>
      <c r="K5" s="30">
        <v>0</v>
      </c>
    </row>
    <row r="6" ht="29.25" customHeight="1" spans="1:11" x14ac:dyDescent="0.25">
      <c r="A6" s="18" t="s">
        <v>382</v>
      </c>
      <c r="B6" s="30">
        <v>4</v>
      </c>
      <c r="C6" s="30">
        <v>2</v>
      </c>
      <c r="D6" s="30">
        <v>2</v>
      </c>
      <c r="E6" s="30">
        <v>0</v>
      </c>
      <c r="F6" s="30">
        <v>1</v>
      </c>
      <c r="G6" s="30">
        <v>2</v>
      </c>
      <c r="H6" s="30">
        <v>0</v>
      </c>
      <c r="I6" s="30">
        <v>1</v>
      </c>
      <c r="J6" s="30">
        <v>0</v>
      </c>
      <c r="K6" s="30">
        <v>3</v>
      </c>
    </row>
    <row r="7" ht="29.25" customHeight="1" spans="1:11" x14ac:dyDescent="0.25">
      <c r="A7" s="18" t="s">
        <v>383</v>
      </c>
      <c r="B7" s="30">
        <v>3</v>
      </c>
      <c r="C7" s="30">
        <v>5</v>
      </c>
      <c r="D7" s="30">
        <v>3</v>
      </c>
      <c r="E7" s="30">
        <v>1</v>
      </c>
      <c r="F7" s="30">
        <v>3</v>
      </c>
      <c r="G7" s="30">
        <v>6</v>
      </c>
      <c r="H7" s="30">
        <v>0</v>
      </c>
      <c r="I7" s="30">
        <v>2</v>
      </c>
      <c r="J7" s="30">
        <v>1</v>
      </c>
      <c r="K7" s="30">
        <v>1</v>
      </c>
    </row>
    <row r="8" ht="29.25" customHeight="1" spans="1:11" x14ac:dyDescent="0.25">
      <c r="A8" s="18" t="s">
        <v>384</v>
      </c>
      <c r="B8" s="30">
        <v>2</v>
      </c>
      <c r="C8" s="30">
        <v>4</v>
      </c>
      <c r="D8" s="30">
        <v>1</v>
      </c>
      <c r="E8" s="30">
        <v>0</v>
      </c>
      <c r="F8" s="30">
        <v>3</v>
      </c>
      <c r="G8" s="30">
        <v>3</v>
      </c>
      <c r="H8" s="30">
        <v>0</v>
      </c>
      <c r="I8" s="30">
        <v>1</v>
      </c>
      <c r="J8" s="30">
        <v>2</v>
      </c>
      <c r="K8" s="30">
        <v>0</v>
      </c>
    </row>
    <row r="9" ht="29.25" customHeight="1" spans="1:11" x14ac:dyDescent="0.25">
      <c r="A9" s="18" t="s">
        <v>385</v>
      </c>
      <c r="B9" s="30">
        <v>3</v>
      </c>
      <c r="C9" s="30">
        <v>1</v>
      </c>
      <c r="D9" s="30">
        <v>1</v>
      </c>
      <c r="E9" s="30">
        <v>0</v>
      </c>
      <c r="F9" s="30">
        <v>2</v>
      </c>
      <c r="G9" s="30">
        <v>1</v>
      </c>
      <c r="H9" s="30">
        <v>1</v>
      </c>
      <c r="I9" s="30">
        <v>2</v>
      </c>
      <c r="J9" s="30">
        <v>1</v>
      </c>
      <c r="K9" s="30">
        <v>2</v>
      </c>
    </row>
    <row r="10" ht="29.25" customHeight="1" spans="1:11" x14ac:dyDescent="0.25">
      <c r="A10" s="18" t="s">
        <v>386</v>
      </c>
      <c r="B10" s="30">
        <v>1</v>
      </c>
      <c r="C10" s="30">
        <v>3</v>
      </c>
      <c r="D10" s="30">
        <v>1</v>
      </c>
      <c r="E10" s="30">
        <v>0</v>
      </c>
      <c r="F10" s="30">
        <v>4</v>
      </c>
      <c r="G10" s="30">
        <v>2</v>
      </c>
      <c r="H10" s="30">
        <v>0</v>
      </c>
      <c r="I10" s="30">
        <v>1</v>
      </c>
      <c r="J10" s="30">
        <v>4</v>
      </c>
      <c r="K10" s="30">
        <v>0</v>
      </c>
    </row>
    <row r="11" ht="29.25" customHeight="1" spans="1:11" x14ac:dyDescent="0.25">
      <c r="A11" s="18" t="s">
        <v>387</v>
      </c>
      <c r="B11" s="30">
        <v>6</v>
      </c>
      <c r="C11" s="30">
        <v>5</v>
      </c>
      <c r="D11" s="30">
        <v>6</v>
      </c>
      <c r="E11" s="30">
        <v>3</v>
      </c>
      <c r="F11" s="30">
        <v>4</v>
      </c>
      <c r="G11" s="30">
        <v>2</v>
      </c>
      <c r="H11" s="30">
        <v>4</v>
      </c>
      <c r="I11" s="30">
        <v>5</v>
      </c>
      <c r="J11" s="30">
        <v>3</v>
      </c>
      <c r="K11" s="30">
        <v>2</v>
      </c>
    </row>
    <row r="12" ht="29.25" customHeight="1" spans="1:11" x14ac:dyDescent="0.25">
      <c r="A12" s="18" t="s">
        <v>388</v>
      </c>
      <c r="B12" s="30">
        <v>1</v>
      </c>
      <c r="C12" s="30">
        <v>0</v>
      </c>
      <c r="D12" s="30">
        <v>1</v>
      </c>
      <c r="E12" s="30">
        <v>0</v>
      </c>
      <c r="F12" s="30">
        <v>0</v>
      </c>
      <c r="G12" s="30">
        <v>0</v>
      </c>
      <c r="H12" s="30">
        <v>0</v>
      </c>
      <c r="I12" s="30">
        <v>1</v>
      </c>
      <c r="J12" s="30">
        <v>0</v>
      </c>
      <c r="K12" s="30">
        <v>5</v>
      </c>
    </row>
    <row r="13" ht="29.25" customHeight="1" spans="1:11" x14ac:dyDescent="0.25">
      <c r="A13" s="18" t="s">
        <v>389</v>
      </c>
      <c r="B13" s="30">
        <v>2</v>
      </c>
      <c r="C13" s="30">
        <v>4</v>
      </c>
      <c r="D13" s="30">
        <v>4</v>
      </c>
      <c r="E13" s="30">
        <v>1</v>
      </c>
      <c r="F13" s="30">
        <v>1</v>
      </c>
      <c r="G13" s="30">
        <v>2</v>
      </c>
      <c r="H13" s="30">
        <v>1</v>
      </c>
      <c r="I13" s="30">
        <v>4</v>
      </c>
      <c r="J13" s="30">
        <v>0</v>
      </c>
      <c r="K13" s="30">
        <v>2</v>
      </c>
    </row>
    <row r="14" ht="29.25" customHeight="1" spans="1:11" x14ac:dyDescent="0.25">
      <c r="A14" s="18" t="s">
        <v>390</v>
      </c>
      <c r="B14" s="30">
        <v>3</v>
      </c>
      <c r="C14" s="30">
        <v>3</v>
      </c>
      <c r="D14" s="30">
        <v>5</v>
      </c>
      <c r="E14" s="30">
        <v>1</v>
      </c>
      <c r="F14" s="30">
        <v>2</v>
      </c>
      <c r="G14" s="30">
        <v>2</v>
      </c>
      <c r="H14" s="30">
        <v>3</v>
      </c>
      <c r="I14" s="30">
        <v>3</v>
      </c>
      <c r="J14" s="30">
        <v>0</v>
      </c>
      <c r="K14" s="30">
        <v>0</v>
      </c>
    </row>
    <row r="15" ht="29.25" customHeight="1" spans="1:11" x14ac:dyDescent="0.25">
      <c r="A15" s="18" t="s">
        <v>391</v>
      </c>
      <c r="B15" s="30">
        <v>2</v>
      </c>
      <c r="C15" s="30">
        <v>2</v>
      </c>
      <c r="D15" s="30">
        <v>2</v>
      </c>
      <c r="E15" s="30">
        <v>0</v>
      </c>
      <c r="F15" s="30">
        <v>1</v>
      </c>
      <c r="G15" s="30">
        <v>2</v>
      </c>
      <c r="H15" s="30">
        <v>0</v>
      </c>
      <c r="I15" s="30">
        <v>2</v>
      </c>
      <c r="J15" s="30">
        <v>1</v>
      </c>
      <c r="K15" s="30">
        <v>1</v>
      </c>
    </row>
    <row r="16" ht="29.25" customHeight="1" spans="1:11" x14ac:dyDescent="0.25">
      <c r="A16" s="18" t="s">
        <v>392</v>
      </c>
      <c r="B16" s="30">
        <v>4</v>
      </c>
      <c r="C16" s="30">
        <v>1</v>
      </c>
      <c r="D16" s="30">
        <v>2</v>
      </c>
      <c r="E16" s="30">
        <v>0</v>
      </c>
      <c r="F16" s="30">
        <v>1</v>
      </c>
      <c r="G16" s="30">
        <v>1</v>
      </c>
      <c r="H16" s="30">
        <v>0</v>
      </c>
      <c r="I16" s="30">
        <v>2</v>
      </c>
      <c r="J16" s="30">
        <v>0</v>
      </c>
      <c r="K16" s="30">
        <v>3</v>
      </c>
    </row>
    <row r="18" ht="79.5" customHeight="1" spans="1:12" x14ac:dyDescent="0.25">
      <c r="A18" s="31" t="s">
        <v>393</v>
      </c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</row>
  </sheetData>
  <mergeCells count="3">
    <mergeCell ref="A1:L2"/>
    <mergeCell ref="A3:L3"/>
    <mergeCell ref="A18:L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FormatPr defaultRowHeight="15" outlineLevelRow="0" outlineLevelCol="0" x14ac:dyDescent="55"/>
  <cols>
    <col min="1" max="1" width="28" customWidth="1"/>
    <col min="2" max="9" width="10" customWidth="1"/>
    <col min="10" max="24" width="13.571428571428571" customWidth="1"/>
  </cols>
  <sheetData>
    <row r="1" ht="54.75" customHeight="1" spans="1:14" x14ac:dyDescent="0.25">
      <c r="A1" s="26" t="s">
        <v>394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4" ht="30" customHeight="1" spans="1:9" x14ac:dyDescent="0.25">
      <c r="A4" s="32" t="s">
        <v>395</v>
      </c>
      <c r="B4" s="21">
        <v>2018</v>
      </c>
      <c r="C4" s="21">
        <v>2019</v>
      </c>
      <c r="D4" s="21">
        <v>2020</v>
      </c>
      <c r="E4" s="21">
        <v>2021</v>
      </c>
      <c r="F4" s="21">
        <v>2022</v>
      </c>
      <c r="G4" s="21">
        <v>2023</v>
      </c>
      <c r="H4" s="21">
        <v>2024</v>
      </c>
      <c r="I4" s="21">
        <v>2025</v>
      </c>
    </row>
    <row r="5" ht="29.25" customHeight="1" spans="1:9" x14ac:dyDescent="0.25">
      <c r="A5" s="18" t="s">
        <v>396</v>
      </c>
      <c r="B5" s="33">
        <v>4</v>
      </c>
      <c r="C5" s="33">
        <v>6</v>
      </c>
      <c r="D5" s="33">
        <v>9</v>
      </c>
      <c r="E5" s="33">
        <v>12</v>
      </c>
      <c r="F5" s="33">
        <v>18</v>
      </c>
      <c r="G5" s="33">
        <v>24</v>
      </c>
      <c r="H5" s="33">
        <v>31</v>
      </c>
      <c r="I5" s="33">
        <v>38</v>
      </c>
    </row>
    <row r="6" ht="29.25" customHeight="1" spans="1:9" x14ac:dyDescent="0.25">
      <c r="A6" s="18" t="s">
        <v>397</v>
      </c>
      <c r="B6" s="34">
        <v>3</v>
      </c>
      <c r="C6" s="34">
        <v>5</v>
      </c>
      <c r="D6" s="34">
        <v>8</v>
      </c>
      <c r="E6" s="34">
        <v>11</v>
      </c>
      <c r="F6" s="34">
        <v>16</v>
      </c>
      <c r="G6" s="34">
        <v>22</v>
      </c>
      <c r="H6" s="34">
        <v>29</v>
      </c>
      <c r="I6" s="34">
        <v>35</v>
      </c>
    </row>
    <row r="7" ht="29.25" customHeight="1" spans="1:9" x14ac:dyDescent="0.25">
      <c r="A7" s="18" t="s">
        <v>398</v>
      </c>
      <c r="B7" s="33">
        <v>2</v>
      </c>
      <c r="C7" s="33">
        <v>3</v>
      </c>
      <c r="D7" s="33">
        <v>5</v>
      </c>
      <c r="E7" s="33">
        <v>7</v>
      </c>
      <c r="F7" s="33">
        <v>9</v>
      </c>
      <c r="G7" s="33">
        <v>12</v>
      </c>
      <c r="H7" s="33">
        <v>15</v>
      </c>
      <c r="I7" s="33">
        <v>19</v>
      </c>
    </row>
    <row r="8" ht="29.25" customHeight="1" spans="1:9" x14ac:dyDescent="0.25">
      <c r="A8" s="18" t="s">
        <v>399</v>
      </c>
      <c r="B8" s="34">
        <v>3</v>
      </c>
      <c r="C8" s="34">
        <v>4</v>
      </c>
      <c r="D8" s="34">
        <v>6</v>
      </c>
      <c r="E8" s="34">
        <v>8</v>
      </c>
      <c r="F8" s="34">
        <v>11</v>
      </c>
      <c r="G8" s="34">
        <v>14</v>
      </c>
      <c r="H8" s="34">
        <v>16</v>
      </c>
      <c r="I8" s="34">
        <v>20</v>
      </c>
    </row>
    <row r="9" ht="29.25" customHeight="1" spans="1:9" x14ac:dyDescent="0.25">
      <c r="A9" s="18" t="s">
        <v>400</v>
      </c>
      <c r="B9" s="33">
        <v>1</v>
      </c>
      <c r="C9" s="33">
        <v>2</v>
      </c>
      <c r="D9" s="33">
        <v>2</v>
      </c>
      <c r="E9" s="33">
        <v>3</v>
      </c>
      <c r="F9" s="33">
        <v>5</v>
      </c>
      <c r="G9" s="33">
        <v>8</v>
      </c>
      <c r="H9" s="33">
        <v>13</v>
      </c>
      <c r="I9" s="33">
        <v>18</v>
      </c>
    </row>
    <row r="10" ht="29.25" customHeight="1" spans="1:9" x14ac:dyDescent="0.25">
      <c r="A10" s="18" t="s">
        <v>401</v>
      </c>
      <c r="B10" s="34">
        <v>0</v>
      </c>
      <c r="C10" s="34">
        <v>0</v>
      </c>
      <c r="D10" s="34">
        <v>1</v>
      </c>
      <c r="E10" s="34">
        <v>2</v>
      </c>
      <c r="F10" s="34">
        <v>5</v>
      </c>
      <c r="G10" s="34">
        <v>10</v>
      </c>
      <c r="H10" s="34">
        <v>17</v>
      </c>
      <c r="I10" s="34">
        <v>25</v>
      </c>
    </row>
    <row r="11" ht="29.25" customHeight="1" spans="1:9" x14ac:dyDescent="0.25">
      <c r="A11" s="18" t="s">
        <v>402</v>
      </c>
      <c r="B11" s="33">
        <v>1</v>
      </c>
      <c r="C11" s="33">
        <v>1</v>
      </c>
      <c r="D11" s="33">
        <v>2</v>
      </c>
      <c r="E11" s="33">
        <v>3</v>
      </c>
      <c r="F11" s="33">
        <v>4</v>
      </c>
      <c r="G11" s="33">
        <v>6</v>
      </c>
      <c r="H11" s="33">
        <v>9</v>
      </c>
      <c r="I11" s="33">
        <v>14</v>
      </c>
    </row>
    <row r="12" ht="29.25" customHeight="1" spans="1:9" x14ac:dyDescent="0.25">
      <c r="A12" s="18" t="s">
        <v>403</v>
      </c>
      <c r="B12" s="34">
        <v>2</v>
      </c>
      <c r="C12" s="34">
        <v>4</v>
      </c>
      <c r="D12" s="34">
        <v>7</v>
      </c>
      <c r="E12" s="34">
        <v>11</v>
      </c>
      <c r="F12" s="34">
        <v>16</v>
      </c>
      <c r="G12" s="34">
        <v>21</v>
      </c>
      <c r="H12" s="34">
        <v>26</v>
      </c>
      <c r="I12" s="34">
        <v>32</v>
      </c>
    </row>
    <row r="13" ht="29.25" customHeight="1" spans="1:9" x14ac:dyDescent="0.25">
      <c r="A13" s="18" t="s">
        <v>404</v>
      </c>
      <c r="B13" s="33">
        <v>0</v>
      </c>
      <c r="C13" s="33">
        <v>1</v>
      </c>
      <c r="D13" s="33">
        <v>2</v>
      </c>
      <c r="E13" s="33">
        <v>4</v>
      </c>
      <c r="F13" s="33">
        <v>7</v>
      </c>
      <c r="G13" s="33">
        <v>12</v>
      </c>
      <c r="H13" s="33">
        <v>18</v>
      </c>
      <c r="I13" s="33">
        <v>24</v>
      </c>
    </row>
    <row r="14" ht="29.25" customHeight="1" spans="1:9" x14ac:dyDescent="0.25">
      <c r="A14" s="18" t="s">
        <v>405</v>
      </c>
      <c r="B14" s="34">
        <v>0</v>
      </c>
      <c r="C14" s="34">
        <v>0</v>
      </c>
      <c r="D14" s="34">
        <v>1</v>
      </c>
      <c r="E14" s="34">
        <v>2</v>
      </c>
      <c r="F14" s="34">
        <v>4</v>
      </c>
      <c r="G14" s="34">
        <v>8</v>
      </c>
      <c r="H14" s="34">
        <v>14</v>
      </c>
      <c r="I14" s="34">
        <v>20</v>
      </c>
    </row>
    <row r="17" ht="42" customHeight="1" spans="1:14" x14ac:dyDescent="0.25">
      <c r="A17" s="35" t="s">
        <v>406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</row>
    <row r="18" ht="63" customHeight="1" spans="1:14" x14ac:dyDescent="0.25">
      <c r="A18" s="36" t="s">
        <v>407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</row>
    <row r="19" ht="63" customHeight="1" spans="1:14" x14ac:dyDescent="0.25">
      <c r="A19" s="37" t="s">
        <v>408</v>
      </c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 ht="63" customHeight="1" spans="1:14" x14ac:dyDescent="0.25">
      <c r="A20" s="36" t="s">
        <v>409</v>
      </c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</row>
    <row r="21" ht="63" customHeight="1" spans="1:14" x14ac:dyDescent="0.25">
      <c r="A21" s="37" t="s">
        <v>410</v>
      </c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ht="63" customHeight="1" spans="1:14" x14ac:dyDescent="0.25">
      <c r="A22" s="36" t="s">
        <v>411</v>
      </c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</row>
  </sheetData>
  <mergeCells count="7">
    <mergeCell ref="A1:N2"/>
    <mergeCell ref="A17:N17"/>
    <mergeCell ref="A18:N18"/>
    <mergeCell ref="A19:N19"/>
    <mergeCell ref="A20:N20"/>
    <mergeCell ref="A21:N21"/>
    <mergeCell ref="A22:N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📖 How to Use</vt:lpstr>
      <vt:lpstr>📚 Literature Matrix</vt:lpstr>
      <vt:lpstr>🔍 Gap Tracker</vt:lpstr>
      <vt:lpstr>⚙️ Methodology Comparison</vt:lpstr>
      <vt:lpstr>📋 Reading Tracker</vt:lpstr>
      <vt:lpstr>💾 Dataset Inventory</vt:lpstr>
      <vt:lpstr>🗺️ Domain Coverage Map</vt:lpstr>
      <vt:lpstr>📈 Temporal Trends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2026-06-28T17:24:45Z</dcterms:created>
  <dcterms:modified xsi:type="dcterms:W3CDTF">2026-06-28T17:24:45Z</dcterms:modified>
</cp:coreProperties>
</file>